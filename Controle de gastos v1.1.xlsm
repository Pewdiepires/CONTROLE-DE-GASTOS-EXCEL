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defaultThemeVersion="164011"/>
  <bookViews>
    <workbookView xWindow="0" yWindow="0" windowWidth="22260" windowHeight="12645"/>
  </bookViews>
  <sheets>
    <sheet name="ENTRADA E GASTOS" sheetId="2" r:id="rId1"/>
    <sheet name="PLAN GASTOS" sheetId="3" r:id="rId2"/>
    <sheet name="RECEITA" sheetId="5" r:id="rId3"/>
    <sheet name="Investimentos" sheetId="6" r:id="rId4"/>
    <sheet name="Simulador" sheetId="7" r:id="rId5"/>
    <sheet name="CONFIGS" sheetId="4" r:id="rId6"/>
  </sheets>
  <definedNames>
    <definedName name="_xlnm._FilterDatabase" localSheetId="1" hidden="1">'PLAN GASTOS'!$C$3:$M$3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7" l="1"/>
  <c r="C10" i="7"/>
  <c r="D10" i="7" s="1"/>
  <c r="I10" i="7" s="1"/>
  <c r="B10" i="7"/>
  <c r="C3" i="7"/>
  <c r="H7" i="6"/>
  <c r="G7" i="6"/>
  <c r="H6" i="6"/>
  <c r="G6" i="6"/>
  <c r="H5" i="6"/>
  <c r="G5" i="6"/>
  <c r="H4" i="6"/>
  <c r="G4" i="6"/>
  <c r="B6" i="7"/>
  <c r="D6" i="7" s="1"/>
  <c r="B11" i="7" l="1"/>
  <c r="H10" i="7"/>
  <c r="J10" i="7" s="1"/>
  <c r="F10" i="7"/>
  <c r="C6" i="7"/>
  <c r="K10" i="2"/>
  <c r="C11" i="7" l="1"/>
  <c r="E11" i="7"/>
  <c r="G10" i="7"/>
  <c r="C20" i="2"/>
  <c r="B20" i="2"/>
  <c r="K11" i="2" s="1"/>
  <c r="J3" i="2"/>
  <c r="H3" i="5"/>
  <c r="G3" i="5"/>
  <c r="L18" i="2"/>
  <c r="B3" i="2"/>
  <c r="M4" i="3"/>
  <c r="L4" i="3"/>
  <c r="H11" i="7" l="1"/>
  <c r="D11" i="7"/>
  <c r="F11" i="7"/>
  <c r="G11" i="7" s="1"/>
  <c r="K15" i="2"/>
  <c r="K14" i="2"/>
  <c r="K17" i="2"/>
  <c r="K16" i="2"/>
  <c r="I11" i="7" l="1"/>
  <c r="J11" i="7" s="1"/>
  <c r="B12" i="7"/>
  <c r="K18" i="2"/>
  <c r="C12" i="7" l="1"/>
  <c r="F12" i="7" s="1"/>
  <c r="E12" i="7"/>
  <c r="D12" i="7" l="1"/>
  <c r="H12" i="7"/>
  <c r="B13" i="7" l="1"/>
  <c r="I12" i="7"/>
  <c r="J12" i="7" s="1"/>
  <c r="G12" i="7"/>
  <c r="C13" i="7" l="1"/>
  <c r="E13" i="7"/>
  <c r="H13" i="7" l="1"/>
  <c r="G13" i="7" s="1"/>
  <c r="F13" i="7"/>
  <c r="D13" i="7"/>
  <c r="I13" i="7" l="1"/>
  <c r="J13" i="7" s="1"/>
  <c r="B14" i="7"/>
  <c r="C14" i="7" l="1"/>
  <c r="F14" i="7" s="1"/>
  <c r="E14" i="7"/>
  <c r="H14" i="7" l="1"/>
  <c r="D14" i="7"/>
  <c r="I14" i="7" s="1"/>
  <c r="G14" i="7"/>
  <c r="B15" i="7"/>
  <c r="J14" i="7" l="1"/>
  <c r="C15" i="7"/>
  <c r="E15" i="7"/>
  <c r="H15" i="7" l="1"/>
  <c r="D15" i="7"/>
  <c r="I15" i="7" s="1"/>
  <c r="J15" i="7" s="1"/>
  <c r="F15" i="7"/>
  <c r="G15" i="7" l="1"/>
  <c r="B16" i="7"/>
  <c r="C16" i="7" s="1"/>
  <c r="D16" i="7" s="1"/>
  <c r="E16" i="7" l="1"/>
  <c r="H16" i="7" s="1"/>
  <c r="I16" i="7"/>
  <c r="B17" i="7"/>
  <c r="F16" i="7"/>
  <c r="G16" i="7" l="1"/>
  <c r="J16" i="7"/>
  <c r="C17" i="7"/>
  <c r="F17" i="7" s="1"/>
  <c r="D17" i="7"/>
  <c r="I17" i="7" s="1"/>
  <c r="E17" i="7"/>
  <c r="B18" i="7" l="1"/>
  <c r="H17" i="7"/>
  <c r="G17" i="7" l="1"/>
  <c r="J17" i="7"/>
  <c r="E18" i="7"/>
  <c r="C18" i="7"/>
  <c r="D18" i="7" s="1"/>
  <c r="I18" i="7" l="1"/>
  <c r="B19" i="7"/>
  <c r="F18" i="7"/>
  <c r="H18" i="7"/>
  <c r="J18" i="7" l="1"/>
  <c r="G18" i="7"/>
  <c r="C19" i="7"/>
  <c r="F19" i="7" s="1"/>
  <c r="D19" i="7"/>
  <c r="I19" i="7" s="1"/>
  <c r="E19" i="7"/>
  <c r="B20" i="7" l="1"/>
  <c r="H19" i="7"/>
  <c r="J19" i="7" s="1"/>
  <c r="C20" i="7"/>
  <c r="D20" i="7" s="1"/>
  <c r="E20" i="7"/>
  <c r="G19" i="7"/>
  <c r="B21" i="7" l="1"/>
  <c r="I20" i="7"/>
  <c r="H20" i="7"/>
  <c r="F20" i="7"/>
  <c r="C21" i="7" l="1"/>
  <c r="F21" i="7" s="1"/>
  <c r="E21" i="7"/>
  <c r="G20" i="7"/>
  <c r="J20" i="7"/>
  <c r="H21" i="7" l="1"/>
  <c r="G21" i="7"/>
  <c r="D21" i="7"/>
  <c r="I21" i="7" l="1"/>
  <c r="J21" i="7" s="1"/>
  <c r="B22" i="7"/>
  <c r="C22" i="7" l="1"/>
  <c r="D22" i="7" s="1"/>
  <c r="E22" i="7"/>
  <c r="I22" i="7" l="1"/>
  <c r="B23" i="7"/>
  <c r="H22" i="7"/>
  <c r="F22" i="7"/>
  <c r="G22" i="7" l="1"/>
  <c r="J22" i="7"/>
  <c r="C23" i="7"/>
  <c r="D23" i="7" s="1"/>
  <c r="E23" i="7"/>
  <c r="B24" i="7" l="1"/>
  <c r="I23" i="7"/>
  <c r="F23" i="7"/>
  <c r="H23" i="7"/>
  <c r="G23" i="7" l="1"/>
  <c r="J23" i="7"/>
  <c r="C24" i="7"/>
  <c r="D24" i="7" s="1"/>
  <c r="E24" i="7"/>
  <c r="I24" i="7" l="1"/>
  <c r="B25" i="7"/>
  <c r="F24" i="7"/>
  <c r="H24" i="7"/>
  <c r="J24" i="7" l="1"/>
  <c r="G24" i="7"/>
  <c r="C25" i="7"/>
  <c r="F25" i="7" s="1"/>
  <c r="E25" i="7"/>
  <c r="H25" i="7" l="1"/>
  <c r="D25" i="7"/>
  <c r="G25" i="7" l="1"/>
  <c r="B26" i="7"/>
  <c r="I25" i="7"/>
  <c r="J25" i="7" s="1"/>
  <c r="C26" i="7" l="1"/>
  <c r="D26" i="7" s="1"/>
  <c r="E26" i="7"/>
  <c r="B27" i="7" l="1"/>
  <c r="C27" i="7" s="1"/>
  <c r="D27" i="7" s="1"/>
  <c r="I26" i="7"/>
  <c r="F26" i="7"/>
  <c r="H26" i="7"/>
  <c r="G26" i="7" s="1"/>
  <c r="F27" i="7" l="1"/>
  <c r="E27" i="7"/>
  <c r="H27" i="7" s="1"/>
  <c r="J26" i="7"/>
  <c r="B28" i="7"/>
  <c r="I27" i="7"/>
  <c r="C28" i="7"/>
  <c r="F28" i="7" s="1"/>
  <c r="D28" i="7"/>
  <c r="I28" i="7" s="1"/>
  <c r="G27" i="7" l="1"/>
  <c r="J27" i="7"/>
  <c r="E28" i="7"/>
  <c r="H28" i="7" s="1"/>
  <c r="B29" i="7"/>
  <c r="G28" i="7" l="1"/>
  <c r="J28" i="7"/>
  <c r="C29" i="7"/>
  <c r="F29" i="7" s="1"/>
  <c r="E29" i="7"/>
  <c r="D29" i="7" l="1"/>
  <c r="H29" i="7"/>
  <c r="I29" i="7" l="1"/>
  <c r="B30" i="7"/>
  <c r="G29" i="7"/>
  <c r="J29" i="7"/>
  <c r="I30" i="7" l="1"/>
  <c r="J30" i="7"/>
  <c r="B31" i="7"/>
  <c r="G30" i="7"/>
  <c r="C30" i="7"/>
  <c r="D30" i="7"/>
  <c r="H30" i="7"/>
  <c r="E30" i="7"/>
  <c r="F30" i="7"/>
  <c r="D31" i="7" l="1"/>
  <c r="C31" i="7"/>
  <c r="G31" i="7"/>
  <c r="H31" i="7"/>
  <c r="I31" i="7"/>
  <c r="J31" i="7"/>
  <c r="E31" i="7"/>
  <c r="F31" i="7"/>
  <c r="B32" i="7"/>
  <c r="F32" i="7" l="1"/>
  <c r="G32" i="7"/>
  <c r="B33" i="7"/>
  <c r="H32" i="7"/>
  <c r="J32" i="7"/>
  <c r="C32" i="7"/>
  <c r="D32" i="7"/>
  <c r="E32" i="7"/>
  <c r="I32" i="7"/>
  <c r="C33" i="7" l="1"/>
  <c r="D33" i="7"/>
  <c r="B34" i="7"/>
  <c r="F33" i="7"/>
  <c r="G33" i="7"/>
  <c r="H33" i="7"/>
  <c r="I33" i="7"/>
  <c r="J33" i="7"/>
  <c r="E33" i="7"/>
  <c r="F34" i="7" l="1"/>
  <c r="G34" i="7"/>
  <c r="C34" i="7"/>
  <c r="D34" i="7"/>
  <c r="E34" i="7"/>
  <c r="H34" i="7"/>
  <c r="I34" i="7"/>
  <c r="J34" i="7"/>
  <c r="B35" i="7"/>
  <c r="I35" i="7" l="1"/>
  <c r="E35" i="7"/>
  <c r="C35" i="7"/>
  <c r="D35" i="7"/>
  <c r="F35" i="7"/>
  <c r="J35" i="7"/>
  <c r="B36" i="7"/>
  <c r="G35" i="7"/>
  <c r="H35" i="7"/>
  <c r="B37" i="7" l="1"/>
  <c r="I36" i="7"/>
  <c r="J36" i="7"/>
  <c r="E36" i="7"/>
  <c r="F36" i="7"/>
  <c r="G36" i="7"/>
  <c r="H36" i="7"/>
  <c r="C36" i="7"/>
  <c r="D36" i="7"/>
  <c r="J37" i="7" l="1"/>
  <c r="C37" i="7"/>
  <c r="D37" i="7"/>
  <c r="E37" i="7"/>
  <c r="I37" i="7"/>
  <c r="B38" i="7"/>
  <c r="F37" i="7"/>
  <c r="G37" i="7"/>
  <c r="H37" i="7"/>
  <c r="C38" i="7" l="1"/>
  <c r="D38" i="7"/>
  <c r="E38" i="7"/>
  <c r="G38" i="7"/>
  <c r="H38" i="7"/>
  <c r="J38" i="7"/>
  <c r="B39" i="7"/>
  <c r="F38" i="7"/>
  <c r="I38" i="7"/>
  <c r="J39" i="7" l="1"/>
  <c r="B40" i="7"/>
  <c r="C39" i="7"/>
  <c r="G39" i="7"/>
  <c r="E39" i="7"/>
  <c r="F39" i="7"/>
  <c r="H39" i="7"/>
  <c r="D39" i="7"/>
  <c r="I39" i="7"/>
  <c r="G40" i="7" l="1"/>
  <c r="H40" i="7"/>
  <c r="I40" i="7"/>
  <c r="J40" i="7"/>
  <c r="C40" i="7"/>
  <c r="F40" i="7"/>
  <c r="B41" i="7"/>
  <c r="D40" i="7"/>
  <c r="E40" i="7"/>
  <c r="G41" i="7" l="1"/>
  <c r="H41" i="7"/>
  <c r="J41" i="7"/>
  <c r="C41" i="7"/>
  <c r="I41" i="7"/>
  <c r="B42" i="7"/>
  <c r="D41" i="7"/>
  <c r="E41" i="7"/>
  <c r="F41" i="7"/>
  <c r="B43" i="7" l="1"/>
  <c r="F42" i="7"/>
  <c r="G42" i="7"/>
  <c r="I42" i="7"/>
  <c r="C42" i="7"/>
  <c r="D42" i="7"/>
  <c r="E42" i="7"/>
  <c r="H42" i="7"/>
  <c r="J42" i="7"/>
  <c r="G43" i="7" l="1"/>
  <c r="I43" i="7"/>
  <c r="J43" i="7"/>
  <c r="B44" i="7"/>
  <c r="C43" i="7"/>
  <c r="F43" i="7"/>
  <c r="H43" i="7"/>
  <c r="D43" i="7"/>
  <c r="E43" i="7"/>
  <c r="G44" i="7" l="1"/>
  <c r="I44" i="7"/>
  <c r="C44" i="7"/>
  <c r="F44" i="7"/>
  <c r="J44" i="7"/>
  <c r="H44" i="7"/>
  <c r="B45" i="7"/>
  <c r="D44" i="7"/>
  <c r="E44" i="7"/>
  <c r="G45" i="7" l="1"/>
  <c r="H45" i="7"/>
  <c r="J45" i="7"/>
  <c r="B46" i="7"/>
  <c r="C45" i="7"/>
  <c r="I45" i="7"/>
  <c r="D45" i="7"/>
  <c r="E45" i="7"/>
  <c r="F45" i="7"/>
  <c r="G46" i="7" l="1"/>
  <c r="H46" i="7"/>
  <c r="I46" i="7"/>
  <c r="C46" i="7"/>
  <c r="D46" i="7"/>
  <c r="E46" i="7"/>
  <c r="J46" i="7"/>
  <c r="F46" i="7"/>
</calcChain>
</file>

<file path=xl/sharedStrings.xml><?xml version="1.0" encoding="utf-8"?>
<sst xmlns="http://schemas.openxmlformats.org/spreadsheetml/2006/main" count="157" uniqueCount="93">
  <si>
    <t>Mês</t>
  </si>
  <si>
    <t>Janeiro</t>
  </si>
  <si>
    <t>Fevereiro</t>
  </si>
  <si>
    <t>Setembro</t>
  </si>
  <si>
    <t>Outubro</t>
  </si>
  <si>
    <t>Novembro</t>
  </si>
  <si>
    <t>Dezembro</t>
  </si>
  <si>
    <t>Março</t>
  </si>
  <si>
    <t>Abril</t>
  </si>
  <si>
    <t>Maio</t>
  </si>
  <si>
    <t>Junho</t>
  </si>
  <si>
    <t>Julho</t>
  </si>
  <si>
    <t>Forma de Pagamento</t>
  </si>
  <si>
    <t>Categoria</t>
  </si>
  <si>
    <t>Cartão</t>
  </si>
  <si>
    <t>Alimentação</t>
  </si>
  <si>
    <t>Nubank</t>
  </si>
  <si>
    <t>À vista</t>
  </si>
  <si>
    <t>Mercado</t>
  </si>
  <si>
    <t>Parcelado</t>
  </si>
  <si>
    <t>Transporte</t>
  </si>
  <si>
    <t>Moradia</t>
  </si>
  <si>
    <t>Saúde</t>
  </si>
  <si>
    <t>Academia</t>
  </si>
  <si>
    <t>Lazer</t>
  </si>
  <si>
    <t>Compras</t>
  </si>
  <si>
    <t>Eletrônicos</t>
  </si>
  <si>
    <t>Viagem</t>
  </si>
  <si>
    <t>Educação</t>
  </si>
  <si>
    <t>Assinaturas</t>
  </si>
  <si>
    <t>Outros</t>
  </si>
  <si>
    <t>MP</t>
  </si>
  <si>
    <t>Pagamento</t>
  </si>
  <si>
    <t>Data</t>
  </si>
  <si>
    <t>Descrição</t>
  </si>
  <si>
    <t>Valor</t>
  </si>
  <si>
    <t>Parcelas</t>
  </si>
  <si>
    <t>Adicionar Gasto</t>
  </si>
  <si>
    <t>Gastos Fixos</t>
  </si>
  <si>
    <t>Gasto</t>
  </si>
  <si>
    <t>Ativo</t>
  </si>
  <si>
    <t>Celular</t>
  </si>
  <si>
    <t>Sim</t>
  </si>
  <si>
    <t>Não</t>
  </si>
  <si>
    <t>ID</t>
  </si>
  <si>
    <t>Valor total</t>
  </si>
  <si>
    <t>Valor Parcela</t>
  </si>
  <si>
    <t>Ano</t>
  </si>
  <si>
    <t>Cabelo e barba</t>
  </si>
  <si>
    <t>Pix</t>
  </si>
  <si>
    <t>Adiantamento</t>
  </si>
  <si>
    <t>Salário</t>
  </si>
  <si>
    <t>Gastos</t>
  </si>
  <si>
    <t>Detalhes</t>
  </si>
  <si>
    <t>Salário do mês</t>
  </si>
  <si>
    <t>Divisão Sugerida</t>
  </si>
  <si>
    <t>Investimentos</t>
  </si>
  <si>
    <t>Apartamento</t>
  </si>
  <si>
    <t>DATA DE REGISTRO</t>
  </si>
  <si>
    <t>TIPO</t>
  </si>
  <si>
    <t>VALOR</t>
  </si>
  <si>
    <t>MÊS REFERENTE</t>
  </si>
  <si>
    <t>MÊS</t>
  </si>
  <si>
    <t>ANO</t>
  </si>
  <si>
    <t>Agosto</t>
  </si>
  <si>
    <t>YT PREMIUM</t>
  </si>
  <si>
    <t>SPOTIFY</t>
  </si>
  <si>
    <t>Mês Referência</t>
  </si>
  <si>
    <t>Total</t>
  </si>
  <si>
    <t>Salário liquido</t>
  </si>
  <si>
    <t>Valor reservado</t>
  </si>
  <si>
    <t>DATA</t>
  </si>
  <si>
    <t>DESTINO</t>
  </si>
  <si>
    <t>DISPONIVEL PRA GASTAR</t>
  </si>
  <si>
    <t>LAZER</t>
  </si>
  <si>
    <t>OUTROS</t>
  </si>
  <si>
    <t>A pagar cartão</t>
  </si>
  <si>
    <t>Meta</t>
  </si>
  <si>
    <t>Saldo até hoje</t>
  </si>
  <si>
    <t>Aporte Mensal</t>
  </si>
  <si>
    <t>Taxa anual</t>
  </si>
  <si>
    <t>Ano Final</t>
  </si>
  <si>
    <t>Meses até o ano final</t>
  </si>
  <si>
    <t>Total Investido</t>
  </si>
  <si>
    <t>Valor final</t>
  </si>
  <si>
    <t>Meses no ano</t>
  </si>
  <si>
    <t>Meses acumulados</t>
  </si>
  <si>
    <t>Saldo inicial</t>
  </si>
  <si>
    <t>Aportes no ano</t>
  </si>
  <si>
    <t>Rendimento no ano</t>
  </si>
  <si>
    <t>Saldo final</t>
  </si>
  <si>
    <t>Total investido</t>
  </si>
  <si>
    <t>Juros acumulados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</si>
</sst>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&quot;R$&quot;#,##0.00"/>
    <numFmt numFmtId="166" formatCode="dd/mm/yyyy"/>
    <numFmt numFmtId="167" formatCode="&quot;R$&quot;#,##0.00"/>
    <numFmt numFmtId="172" formatCode="&quot;R$ 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16294A"/>
      <name val="Arial"/>
      <family val="2"/>
    </font>
    <font>
      <b/>
      <sz val="11"/>
      <color rgb="FFFFFFFF"/>
      <name val="Arial"/>
      <family val="2"/>
    </font>
    <font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rgb="FF16294A"/>
      </patternFill>
    </fill>
    <fill>
      <patternFill patternType="solid">
        <fgColor theme="0" tint="-4.9989318521683403E-2"/>
        <bgColor rgb="FFEDEDED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2">
    <xf numFmtId="0" fontId="0" fillId="0" borderId="0" xfId="0"/>
    <xf numFmtId="0" fontId="2" fillId="0" borderId="0" xfId="0" applyFont="1" applyAlignment="1"/>
    <xf numFmtId="0" fontId="0" fillId="0" borderId="0" xfId="0" applyAlignment="1"/>
    <xf numFmtId="0" fontId="3" fillId="2" borderId="0" xfId="0" applyFont="1" applyFill="1" applyAlignment="1">
      <alignment horizontal="center"/>
    </xf>
    <xf numFmtId="0" fontId="4" fillId="3" borderId="1" xfId="0" applyFont="1" applyFill="1" applyBorder="1" applyAlignment="1" applyProtection="1">
      <protection locked="0"/>
    </xf>
    <xf numFmtId="0" fontId="4" fillId="0" borderId="0" xfId="0" applyFont="1" applyFill="1" applyBorder="1" applyAlignment="1" applyProtection="1">
      <protection locked="0"/>
    </xf>
    <xf numFmtId="0" fontId="0" fillId="0" borderId="0" xfId="0" applyBorder="1"/>
    <xf numFmtId="0" fontId="0" fillId="5" borderId="0" xfId="0" applyFill="1"/>
    <xf numFmtId="0" fontId="0" fillId="6" borderId="0" xfId="0" applyFill="1"/>
    <xf numFmtId="164" fontId="0" fillId="6" borderId="0" xfId="0" applyNumberFormat="1" applyFill="1"/>
    <xf numFmtId="2" fontId="0" fillId="6" borderId="0" xfId="0" applyNumberFormat="1" applyFill="1"/>
    <xf numFmtId="1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14" fontId="0" fillId="0" borderId="0" xfId="0" applyNumberFormat="1"/>
    <xf numFmtId="165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4" borderId="0" xfId="0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164" fontId="0" fillId="6" borderId="0" xfId="1" applyNumberFormat="1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0" fillId="7" borderId="0" xfId="0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8" fontId="0" fillId="0" borderId="0" xfId="0" applyNumberFormat="1" applyAlignment="1">
      <alignment horizontal="center" vertical="center"/>
    </xf>
    <xf numFmtId="1" fontId="0" fillId="0" borderId="0" xfId="0" applyNumberFormat="1"/>
    <xf numFmtId="172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</cellXfs>
  <cellStyles count="2">
    <cellStyle name="Moeda" xfId="1" builtinId="4"/>
    <cellStyle name="Normal" xfId="0" builtinId="0"/>
  </cellStyles>
  <dxfs count="10"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 patternType="solid">
          <fgColor rgb="FFEDEDED"/>
          <bgColor theme="0" tint="-4.9989318521683403E-2"/>
        </patternFill>
      </fill>
    </dxf>
    <dxf>
      <fill>
        <patternFill patternType="solid">
          <fgColor rgb="FFEDEDED"/>
          <bgColor theme="0" tint="-4.9989318521683403E-2"/>
        </patternFill>
      </fill>
    </dxf>
    <dxf>
      <fill>
        <patternFill patternType="solid">
          <fgColor rgb="FF16294A"/>
          <bgColor theme="9" tint="0.39997558519241921"/>
        </patternFill>
      </fill>
    </dxf>
    <dxf>
      <fill>
        <patternFill patternType="solid">
          <fgColor rgb="FFEDEDED"/>
          <bgColor theme="0" tint="-4.9989318521683403E-2"/>
        </patternFill>
      </fill>
    </dxf>
    <dxf>
      <fill>
        <patternFill patternType="solid">
          <fgColor rgb="FFEDEDED"/>
          <bgColor theme="0" tint="-4.9989318521683403E-2"/>
        </patternFill>
      </fill>
    </dxf>
    <dxf>
      <fill>
        <patternFill patternType="solid">
          <fgColor rgb="FF16294A"/>
          <bgColor theme="9" tint="0.39997558519241921"/>
        </patternFill>
      </fill>
    </dxf>
    <dxf>
      <fill>
        <patternFill patternType="solid">
          <fgColor rgb="FF16294A"/>
          <bgColor theme="9" tint="0.39997558519241921"/>
        </patternFill>
      </fill>
    </dxf>
  </dxfs>
  <tableStyles count="0" defaultTableStyle="TableStyleMedium2" defaultPivotStyle="PivotStyleLight16"/>
  <colors>
    <mruColors>
      <color rgb="FFFF66CC"/>
      <color rgb="FFD60093"/>
      <color rgb="FFCC3399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1095375</xdr:colOff>
      <xdr:row>4</xdr:row>
      <xdr:rowOff>0</xdr:rowOff>
    </xdr:from>
    <xdr:to>
      <xdr:col>5</xdr:col>
      <xdr:colOff>723900</xdr:colOff>
      <xdr:row>6</xdr:row>
      <xdr:rowOff>0</xdr:rowOff>
    </xdr:to>
    <xdr:sp macro="[0]!AdicionarGasto" textlink="">
      <xdr:nvSpPr>
        <xdr:cNvPr id="2" name="Retângulo 1"/>
        <xdr:cNvSpPr/>
      </xdr:nvSpPr>
      <xdr:spPr>
        <a:xfrm>
          <a:off x="1704975" y="762000"/>
          <a:ext cx="3552825" cy="3810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solidFill>
                <a:schemeClr val="tx1"/>
              </a:solidFill>
            </a:rPr>
            <a:t>➕ ADICIONAR GASTO</a:t>
          </a:r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504825</xdr:colOff>
      <xdr:row>4</xdr:row>
      <xdr:rowOff>0</xdr:rowOff>
    </xdr:from>
    <xdr:to>
      <xdr:col>12</xdr:col>
      <xdr:colOff>133350</xdr:colOff>
      <xdr:row>5</xdr:row>
      <xdr:rowOff>180975</xdr:rowOff>
    </xdr:to>
    <xdr:sp macro="[0]!AdicionarReceita" textlink="">
      <xdr:nvSpPr>
        <xdr:cNvPr id="3" name="Retângulo 2"/>
        <xdr:cNvSpPr/>
      </xdr:nvSpPr>
      <xdr:spPr>
        <a:xfrm>
          <a:off x="8667750" y="762000"/>
          <a:ext cx="2409825" cy="371475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➕ ADICIONAR RECEITA</a:t>
          </a:r>
        </a:p>
      </xdr:txBody>
    </xdr:sp>
    <xdr:clientData/>
  </xdr:twoCellAnchor>
  <xdr:twoCellAnchor>
    <xdr:from>
      <xdr:col>9</xdr:col>
      <xdr:colOff>581025</xdr:colOff>
      <xdr:row>19</xdr:row>
      <xdr:rowOff>0</xdr:rowOff>
    </xdr:from>
    <xdr:to>
      <xdr:col>11</xdr:col>
      <xdr:colOff>771525</xdr:colOff>
      <xdr:row>20</xdr:row>
      <xdr:rowOff>171450</xdr:rowOff>
    </xdr:to>
    <xdr:sp macro="[0]!AdicionarInvestimento" textlink="">
      <xdr:nvSpPr>
        <xdr:cNvPr id="4" name="Retângulo 3"/>
        <xdr:cNvSpPr/>
      </xdr:nvSpPr>
      <xdr:spPr>
        <a:xfrm>
          <a:off x="8743950" y="3619500"/>
          <a:ext cx="2257425" cy="36195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➕ ADICIONAR INVESTIMENTOS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>
            <a:solidFill>
              <a:schemeClr val="tx1"/>
            </a:solidFill>
            <a:effectLst/>
          </a:endParaRPr>
        </a:p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Cartoes" displayName="TabCartoes" ref="E3:E18" totalsRowShown="0" headerRowDxfId="9">
  <tableColumns count="1">
    <tableColumn id="1" name="Cartão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Formas" displayName="TabFormas" ref="G3:G7" totalsRowShown="0" headerRowDxfId="8" dataDxfId="7">
  <tableColumns count="1">
    <tableColumn id="1" name="Forma de Pagamento" dataDxfId="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abFormas4" displayName="TabFormas4" ref="K3:K7" totalsRowShown="0" headerRowDxfId="5" dataDxfId="4">
  <tableColumns count="1">
    <tableColumn id="1" name="Pagamento" dataDxfId="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B2:M20"/>
  <sheetViews>
    <sheetView tabSelected="1" topLeftCell="A4" workbookViewId="0">
      <selection activeCell="F14" sqref="F14"/>
    </sheetView>
  </sheetViews>
  <sheetFormatPr defaultRowHeight="15" x14ac:dyDescent="0.25"/>
  <cols>
    <col min="2" max="2" width="16.5703125" customWidth="1"/>
    <col min="3" max="3" width="18.140625" customWidth="1"/>
    <col min="4" max="4" width="15" customWidth="1"/>
    <col min="5" max="5" width="11.7109375" bestFit="1" customWidth="1"/>
    <col min="6" max="6" width="19.5703125" bestFit="1" customWidth="1"/>
    <col min="7" max="7" width="11.42578125" customWidth="1"/>
    <col min="8" max="8" width="11.7109375" customWidth="1"/>
    <col min="10" max="10" width="17" customWidth="1"/>
    <col min="11" max="11" width="14" customWidth="1"/>
    <col min="12" max="12" width="15.5703125" customWidth="1"/>
  </cols>
  <sheetData>
    <row r="2" spans="2:13" x14ac:dyDescent="0.25">
      <c r="B2" s="7" t="s">
        <v>33</v>
      </c>
      <c r="C2" s="7" t="s">
        <v>34</v>
      </c>
      <c r="D2" s="7" t="s">
        <v>13</v>
      </c>
      <c r="E2" s="7" t="s">
        <v>35</v>
      </c>
      <c r="F2" s="7" t="s">
        <v>12</v>
      </c>
      <c r="G2" s="7" t="s">
        <v>36</v>
      </c>
      <c r="H2" s="7" t="s">
        <v>14</v>
      </c>
      <c r="J2" s="7" t="s">
        <v>33</v>
      </c>
      <c r="K2" s="7" t="s">
        <v>32</v>
      </c>
      <c r="L2" s="7" t="s">
        <v>35</v>
      </c>
      <c r="M2" s="7" t="s">
        <v>0</v>
      </c>
    </row>
    <row r="3" spans="2:13" x14ac:dyDescent="0.25">
      <c r="B3" s="11">
        <f ca="1">TODAY()</f>
        <v>46310</v>
      </c>
      <c r="C3" s="12"/>
      <c r="D3" s="12" t="s">
        <v>30</v>
      </c>
      <c r="E3" s="13">
        <v>0</v>
      </c>
      <c r="F3" s="12" t="s">
        <v>17</v>
      </c>
      <c r="G3" s="14">
        <v>1</v>
      </c>
      <c r="H3" s="12" t="s">
        <v>16</v>
      </c>
      <c r="J3" s="17">
        <f ca="1">TODAY()</f>
        <v>46310</v>
      </c>
      <c r="L3" s="24">
        <v>0</v>
      </c>
    </row>
    <row r="5" spans="2:13" x14ac:dyDescent="0.25">
      <c r="C5" s="30" t="s">
        <v>37</v>
      </c>
      <c r="D5" s="30"/>
      <c r="E5" s="30"/>
      <c r="F5" s="30"/>
    </row>
    <row r="6" spans="2:13" x14ac:dyDescent="0.25">
      <c r="C6" s="30"/>
      <c r="D6" s="30"/>
      <c r="E6" s="30"/>
      <c r="F6" s="30"/>
    </row>
    <row r="9" spans="2:13" x14ac:dyDescent="0.25">
      <c r="B9" s="31" t="s">
        <v>38</v>
      </c>
      <c r="C9" s="31"/>
      <c r="D9" s="31"/>
      <c r="E9" s="31"/>
      <c r="F9" s="31"/>
      <c r="G9" s="31"/>
      <c r="H9" s="31"/>
      <c r="J9" s="21" t="s">
        <v>67</v>
      </c>
      <c r="K9" s="12" t="s">
        <v>4</v>
      </c>
    </row>
    <row r="10" spans="2:13" x14ac:dyDescent="0.25">
      <c r="B10" s="25" t="s">
        <v>39</v>
      </c>
      <c r="C10" s="25" t="s">
        <v>13</v>
      </c>
      <c r="D10" s="27" t="s">
        <v>35</v>
      </c>
      <c r="E10" s="27"/>
      <c r="F10" s="25" t="s">
        <v>12</v>
      </c>
      <c r="G10" s="25" t="s">
        <v>14</v>
      </c>
      <c r="H10" s="25" t="s">
        <v>40</v>
      </c>
      <c r="J10" s="21" t="s">
        <v>54</v>
      </c>
      <c r="K10" s="13">
        <f>SUMIFS(RECEITA!E:E, RECEITA!F:F, K9)</f>
        <v>1227.82</v>
      </c>
    </row>
    <row r="11" spans="2:13" x14ac:dyDescent="0.25">
      <c r="B11" s="12" t="s">
        <v>23</v>
      </c>
      <c r="C11" s="12" t="s">
        <v>23</v>
      </c>
      <c r="D11" s="28">
        <v>155</v>
      </c>
      <c r="E11" s="28"/>
      <c r="F11" s="12" t="s">
        <v>17</v>
      </c>
      <c r="G11" s="12" t="s">
        <v>16</v>
      </c>
      <c r="H11" s="12" t="s">
        <v>42</v>
      </c>
      <c r="J11" s="21" t="s">
        <v>69</v>
      </c>
      <c r="K11" s="9">
        <f>K10-(SUM(D11:E16))</f>
        <v>994.02</v>
      </c>
    </row>
    <row r="12" spans="2:13" x14ac:dyDescent="0.25">
      <c r="B12" s="12" t="s">
        <v>41</v>
      </c>
      <c r="C12" s="12" t="s">
        <v>29</v>
      </c>
      <c r="D12" s="28">
        <v>45</v>
      </c>
      <c r="E12" s="28"/>
      <c r="F12" s="12" t="s">
        <v>17</v>
      </c>
      <c r="G12" s="12" t="s">
        <v>16</v>
      </c>
      <c r="H12" s="12" t="s">
        <v>42</v>
      </c>
    </row>
    <row r="13" spans="2:13" x14ac:dyDescent="0.25">
      <c r="B13" s="12" t="s">
        <v>65</v>
      </c>
      <c r="C13" s="12" t="s">
        <v>29</v>
      </c>
      <c r="D13" s="28">
        <v>16.899999999999999</v>
      </c>
      <c r="E13" s="28"/>
      <c r="F13" s="12" t="s">
        <v>17</v>
      </c>
      <c r="G13" s="12" t="s">
        <v>16</v>
      </c>
      <c r="H13" s="12" t="s">
        <v>42</v>
      </c>
      <c r="J13" s="29" t="s">
        <v>55</v>
      </c>
      <c r="K13" s="29"/>
      <c r="L13" s="7" t="s">
        <v>70</v>
      </c>
    </row>
    <row r="14" spans="2:13" x14ac:dyDescent="0.25">
      <c r="B14" s="12" t="s">
        <v>66</v>
      </c>
      <c r="C14" s="12" t="s">
        <v>29</v>
      </c>
      <c r="D14" s="28">
        <v>16.899999999999999</v>
      </c>
      <c r="E14" s="28"/>
      <c r="F14" s="12" t="s">
        <v>17</v>
      </c>
      <c r="G14" s="12" t="s">
        <v>16</v>
      </c>
      <c r="H14" s="12" t="s">
        <v>42</v>
      </c>
      <c r="J14" s="8" t="s">
        <v>56</v>
      </c>
      <c r="K14" s="9">
        <f>K11*0.35</f>
        <v>347.90699999999998</v>
      </c>
      <c r="L14" s="9"/>
    </row>
    <row r="15" spans="2:13" x14ac:dyDescent="0.25">
      <c r="B15" s="12"/>
      <c r="C15" s="12"/>
      <c r="D15" s="28"/>
      <c r="E15" s="28"/>
      <c r="F15" s="12"/>
      <c r="G15" s="12"/>
      <c r="H15" s="12"/>
      <c r="J15" s="8" t="s">
        <v>57</v>
      </c>
      <c r="K15" s="9">
        <f>$K$11*0.35</f>
        <v>347.90699999999998</v>
      </c>
      <c r="L15" s="9"/>
    </row>
    <row r="16" spans="2:13" x14ac:dyDescent="0.25">
      <c r="B16" s="12"/>
      <c r="C16" s="12"/>
      <c r="D16" s="28"/>
      <c r="E16" s="28"/>
      <c r="F16" s="12"/>
      <c r="G16" s="12"/>
      <c r="H16" s="12"/>
      <c r="J16" s="8" t="s">
        <v>24</v>
      </c>
      <c r="K16" s="9">
        <f>$K$11*0.15</f>
        <v>149.10299999999998</v>
      </c>
      <c r="L16" s="9"/>
    </row>
    <row r="17" spans="2:12" x14ac:dyDescent="0.25">
      <c r="J17" s="8" t="s">
        <v>30</v>
      </c>
      <c r="K17" s="9">
        <f>$K$11*0.15</f>
        <v>149.10299999999998</v>
      </c>
      <c r="L17" s="9"/>
    </row>
    <row r="18" spans="2:12" x14ac:dyDescent="0.25">
      <c r="B18" s="27" t="s">
        <v>73</v>
      </c>
      <c r="C18" s="27"/>
      <c r="E18" t="s">
        <v>76</v>
      </c>
      <c r="J18" s="8" t="s">
        <v>68</v>
      </c>
      <c r="K18" s="10">
        <f>SUM(K14:K17)</f>
        <v>994.01999999999987</v>
      </c>
      <c r="L18" s="9">
        <f>SUM(L14:L17)</f>
        <v>0</v>
      </c>
    </row>
    <row r="19" spans="2:12" x14ac:dyDescent="0.25">
      <c r="B19" s="12" t="s">
        <v>74</v>
      </c>
      <c r="C19" s="12" t="s">
        <v>75</v>
      </c>
    </row>
    <row r="20" spans="2:12" x14ac:dyDescent="0.25">
      <c r="B20" s="12">
        <f>SUMIFS(Investimentos!E:E, Investimentos!D:D, "LAZER")</f>
        <v>300</v>
      </c>
      <c r="C20" s="12">
        <f>SUMIFS(Investimentos!E:E, Investimentos!D:D, "OUTROS")</f>
        <v>300</v>
      </c>
    </row>
  </sheetData>
  <mergeCells count="11">
    <mergeCell ref="C5:F6"/>
    <mergeCell ref="B9:H9"/>
    <mergeCell ref="D10:E10"/>
    <mergeCell ref="D11:E11"/>
    <mergeCell ref="D12:E12"/>
    <mergeCell ref="B18:C18"/>
    <mergeCell ref="D14:E14"/>
    <mergeCell ref="D15:E15"/>
    <mergeCell ref="D16:E16"/>
    <mergeCell ref="J13:K13"/>
    <mergeCell ref="D13:E13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CONFIGS!$C$4:$C$18</xm:f>
          </x14:formula1>
          <xm:sqref>C11:C16</xm:sqref>
        </x14:dataValidation>
        <x14:dataValidation type="list" allowBlank="1" showInputMessage="1" showErrorMessage="1">
          <x14:formula1>
            <xm:f>CONFIGS!$G$4:$G$5</xm:f>
          </x14:formula1>
          <xm:sqref>F3 F11:F16</xm:sqref>
        </x14:dataValidation>
        <x14:dataValidation type="list" allowBlank="1" showInputMessage="1" showErrorMessage="1">
          <x14:formula1>
            <xm:f>CONFIGS!$E$4:$E$9</xm:f>
          </x14:formula1>
          <xm:sqref>G11:G16</xm:sqref>
        </x14:dataValidation>
        <x14:dataValidation type="list" allowBlank="1" showInputMessage="1" showErrorMessage="1">
          <x14:formula1>
            <xm:f>CONFIGS!$I$4:$I$5</xm:f>
          </x14:formula1>
          <xm:sqref>H11:H16</xm:sqref>
        </x14:dataValidation>
        <x14:dataValidation type="list" allowBlank="1" showInputMessage="1" showErrorMessage="1">
          <x14:formula1>
            <xm:f>CONFIGS!$C$4:$C$16</xm:f>
          </x14:formula1>
          <xm:sqref>D3</xm:sqref>
        </x14:dataValidation>
        <x14:dataValidation type="list" allowBlank="1" showInputMessage="1" showErrorMessage="1">
          <x14:formula1>
            <xm:f>CONFIGS!$E$4:$E$8</xm:f>
          </x14:formula1>
          <xm:sqref>H3</xm:sqref>
        </x14:dataValidation>
        <x14:dataValidation type="list" allowBlank="1" showInputMessage="1" showErrorMessage="1">
          <x14:formula1>
            <xm:f>CONFIGS!$K$4:$K$7</xm:f>
          </x14:formula1>
          <xm:sqref>K3</xm:sqref>
        </x14:dataValidation>
        <x14:dataValidation type="list" allowBlank="1" showInputMessage="1" showErrorMessage="1">
          <x14:formula1>
            <xm:f>CONFIGS!$M$4:$M$15</xm:f>
          </x14:formula1>
          <xm:sqref>M3 K9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B1:S33"/>
  <sheetViews>
    <sheetView workbookViewId="0">
      <selection activeCell="G8" sqref="G8"/>
    </sheetView>
  </sheetViews>
  <sheetFormatPr defaultRowHeight="15" x14ac:dyDescent="0.25"/>
  <cols>
    <col min="2" max="2" width="10.7109375" bestFit="1" customWidth="1"/>
    <col min="3" max="3" width="9.140625" style="18"/>
    <col min="4" max="4" width="10.7109375" style="18" bestFit="1" customWidth="1"/>
    <col min="5" max="5" width="14.28515625" style="18" bestFit="1" customWidth="1"/>
    <col min="6" max="6" width="9.42578125" style="18" bestFit="1" customWidth="1"/>
    <col min="7" max="7" width="11.28515625" style="18" bestFit="1" customWidth="1"/>
    <col min="8" max="8" width="11" style="18" bestFit="1" customWidth="1"/>
    <col min="9" max="9" width="8.7109375" style="22" bestFit="1" customWidth="1"/>
    <col min="10" max="10" width="12.5703125" style="18" bestFit="1" customWidth="1"/>
    <col min="11" max="13" width="9.140625" style="18"/>
    <col min="17" max="17" width="10.7109375" bestFit="1" customWidth="1"/>
    <col min="19" max="19" width="10.28515625" bestFit="1" customWidth="1"/>
  </cols>
  <sheetData>
    <row r="1" spans="2:19" x14ac:dyDescent="0.25">
      <c r="C1" s="32" t="s">
        <v>52</v>
      </c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</row>
    <row r="2" spans="2:19" x14ac:dyDescent="0.25">
      <c r="I2" s="18"/>
    </row>
    <row r="3" spans="2:19" x14ac:dyDescent="0.25">
      <c r="C3" s="21" t="s">
        <v>44</v>
      </c>
      <c r="D3" s="21" t="s">
        <v>33</v>
      </c>
      <c r="E3" s="21" t="s">
        <v>34</v>
      </c>
      <c r="F3" s="21" t="s">
        <v>13</v>
      </c>
      <c r="G3" s="21" t="s">
        <v>45</v>
      </c>
      <c r="H3" s="21" t="s">
        <v>32</v>
      </c>
      <c r="I3" s="21" t="s">
        <v>36</v>
      </c>
      <c r="J3" s="21" t="s">
        <v>46</v>
      </c>
      <c r="K3" s="21" t="s">
        <v>14</v>
      </c>
      <c r="L3" s="21" t="s">
        <v>0</v>
      </c>
      <c r="M3" s="21" t="s">
        <v>47</v>
      </c>
      <c r="N3" s="21" t="s">
        <v>53</v>
      </c>
    </row>
    <row r="4" spans="2:19" x14ac:dyDescent="0.25">
      <c r="C4" s="18">
        <v>1</v>
      </c>
      <c r="D4" s="19">
        <v>46309</v>
      </c>
      <c r="E4" s="18" t="s">
        <v>48</v>
      </c>
      <c r="F4" s="18" t="s">
        <v>30</v>
      </c>
      <c r="G4" s="20">
        <v>110</v>
      </c>
      <c r="H4" s="18" t="s">
        <v>17</v>
      </c>
      <c r="I4" s="23">
        <v>1</v>
      </c>
      <c r="J4" s="20">
        <v>110</v>
      </c>
      <c r="K4" s="18" t="s">
        <v>49</v>
      </c>
      <c r="L4" s="18">
        <f>MONTH(D4)</f>
        <v>10</v>
      </c>
      <c r="M4" s="18">
        <f>YEAR(D4)</f>
        <v>2026</v>
      </c>
      <c r="Q4" s="15"/>
      <c r="S4" s="16"/>
    </row>
    <row r="5" spans="2:19" x14ac:dyDescent="0.25">
      <c r="B5" s="15"/>
      <c r="D5" s="19"/>
      <c r="E5" s="20"/>
      <c r="G5" s="20"/>
      <c r="I5" s="23"/>
      <c r="J5" s="20"/>
    </row>
    <row r="6" spans="2:19" x14ac:dyDescent="0.25">
      <c r="B6" s="18"/>
      <c r="D6" s="19"/>
      <c r="G6" s="20"/>
      <c r="I6" s="23"/>
      <c r="J6" s="20"/>
    </row>
    <row r="7" spans="2:19" x14ac:dyDescent="0.25">
      <c r="D7" s="19"/>
      <c r="G7" s="20"/>
      <c r="I7" s="23"/>
      <c r="J7" s="20"/>
    </row>
    <row r="8" spans="2:19" x14ac:dyDescent="0.25">
      <c r="D8" s="19"/>
      <c r="G8" s="20"/>
      <c r="I8" s="23"/>
      <c r="J8" s="20"/>
    </row>
    <row r="9" spans="2:19" x14ac:dyDescent="0.25">
      <c r="D9" s="19"/>
      <c r="G9" s="20"/>
      <c r="I9" s="23"/>
      <c r="J9" s="20"/>
    </row>
    <row r="10" spans="2:19" x14ac:dyDescent="0.25">
      <c r="D10" s="19"/>
      <c r="G10" s="20"/>
      <c r="I10" s="23"/>
      <c r="J10" s="20"/>
      <c r="M10"/>
    </row>
    <row r="11" spans="2:19" x14ac:dyDescent="0.25">
      <c r="D11" s="19"/>
      <c r="G11" s="20"/>
      <c r="I11" s="23"/>
      <c r="J11" s="20"/>
    </row>
    <row r="12" spans="2:19" x14ac:dyDescent="0.25">
      <c r="D12" s="19"/>
      <c r="G12" s="20"/>
      <c r="I12" s="23"/>
      <c r="J12" s="20"/>
    </row>
    <row r="13" spans="2:19" x14ac:dyDescent="0.25">
      <c r="D13" s="19"/>
      <c r="G13" s="20"/>
      <c r="I13" s="23"/>
      <c r="J13" s="20"/>
    </row>
    <row r="14" spans="2:19" x14ac:dyDescent="0.25">
      <c r="D14" s="19"/>
      <c r="G14" s="20"/>
      <c r="I14" s="23"/>
      <c r="J14" s="20"/>
    </row>
    <row r="15" spans="2:19" x14ac:dyDescent="0.25">
      <c r="I15" s="23"/>
    </row>
    <row r="16" spans="2:19" x14ac:dyDescent="0.25">
      <c r="I16" s="23"/>
    </row>
    <row r="17" spans="9:9" x14ac:dyDescent="0.25">
      <c r="I17" s="23"/>
    </row>
    <row r="18" spans="9:9" x14ac:dyDescent="0.25">
      <c r="I18" s="23"/>
    </row>
    <row r="19" spans="9:9" x14ac:dyDescent="0.25">
      <c r="I19" s="23"/>
    </row>
    <row r="20" spans="9:9" x14ac:dyDescent="0.25">
      <c r="I20" s="23"/>
    </row>
    <row r="21" spans="9:9" x14ac:dyDescent="0.25">
      <c r="I21" s="23"/>
    </row>
    <row r="22" spans="9:9" x14ac:dyDescent="0.25">
      <c r="I22" s="23"/>
    </row>
    <row r="23" spans="9:9" x14ac:dyDescent="0.25">
      <c r="I23" s="23"/>
    </row>
    <row r="24" spans="9:9" x14ac:dyDescent="0.25">
      <c r="I24" s="23"/>
    </row>
    <row r="25" spans="9:9" x14ac:dyDescent="0.25">
      <c r="I25" s="23"/>
    </row>
    <row r="26" spans="9:9" x14ac:dyDescent="0.25">
      <c r="I26" s="23"/>
    </row>
    <row r="27" spans="9:9" x14ac:dyDescent="0.25">
      <c r="I27" s="23"/>
    </row>
    <row r="28" spans="9:9" x14ac:dyDescent="0.25">
      <c r="I28" s="23"/>
    </row>
    <row r="29" spans="9:9" x14ac:dyDescent="0.25">
      <c r="I29" s="23"/>
    </row>
    <row r="30" spans="9:9" x14ac:dyDescent="0.25">
      <c r="I30" s="23"/>
    </row>
    <row r="31" spans="9:9" x14ac:dyDescent="0.25">
      <c r="I31" s="23"/>
    </row>
    <row r="32" spans="9:9" x14ac:dyDescent="0.25">
      <c r="I32" s="23"/>
    </row>
    <row r="33" spans="9:9" x14ac:dyDescent="0.25">
      <c r="I33" s="23"/>
    </row>
  </sheetData>
  <autoFilter ref="C3:M3"/>
  <mergeCells count="1">
    <mergeCell ref="C1:N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B2:H3"/>
  <sheetViews>
    <sheetView workbookViewId="0">
      <selection activeCell="F23" sqref="F23"/>
    </sheetView>
  </sheetViews>
  <sheetFormatPr defaultRowHeight="15" x14ac:dyDescent="0.25"/>
  <cols>
    <col min="2" max="2" width="9.140625" style="18"/>
    <col min="3" max="3" width="17.85546875" style="18" bestFit="1" customWidth="1"/>
    <col min="4" max="4" width="13.85546875" style="18" bestFit="1" customWidth="1"/>
    <col min="5" max="5" width="10.28515625" style="18" bestFit="1" customWidth="1"/>
    <col min="6" max="6" width="16.85546875" style="18" customWidth="1"/>
    <col min="7" max="8" width="9.140625" style="18"/>
  </cols>
  <sheetData>
    <row r="2" spans="2:8" x14ac:dyDescent="0.25">
      <c r="B2" s="21" t="s">
        <v>44</v>
      </c>
      <c r="C2" s="21" t="s">
        <v>58</v>
      </c>
      <c r="D2" s="21" t="s">
        <v>59</v>
      </c>
      <c r="E2" s="21" t="s">
        <v>60</v>
      </c>
      <c r="F2" s="21" t="s">
        <v>61</v>
      </c>
      <c r="G2" s="21" t="s">
        <v>62</v>
      </c>
      <c r="H2" s="21" t="s">
        <v>63</v>
      </c>
    </row>
    <row r="3" spans="2:8" x14ac:dyDescent="0.25">
      <c r="B3" s="18">
        <v>1</v>
      </c>
      <c r="C3" s="19">
        <v>46315</v>
      </c>
      <c r="D3" s="18" t="s">
        <v>50</v>
      </c>
      <c r="E3" s="20">
        <v>1227.82</v>
      </c>
      <c r="F3" s="18" t="s">
        <v>4</v>
      </c>
      <c r="G3" s="18">
        <f>MONTH(C3)</f>
        <v>10</v>
      </c>
      <c r="H3" s="18">
        <f>YEAR(C3)</f>
        <v>2026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B3:H11"/>
  <sheetViews>
    <sheetView workbookViewId="0">
      <selection activeCell="E23" sqref="E23"/>
    </sheetView>
  </sheetViews>
  <sheetFormatPr defaultRowHeight="15" x14ac:dyDescent="0.25"/>
  <cols>
    <col min="2" max="2" width="11.140625" style="18" customWidth="1"/>
    <col min="3" max="3" width="10.7109375" style="18" bestFit="1" customWidth="1"/>
    <col min="4" max="4" width="13.85546875" style="18" bestFit="1" customWidth="1"/>
    <col min="5" max="5" width="8.7109375" style="18" bestFit="1" customWidth="1"/>
    <col min="6" max="6" width="15" style="18" bestFit="1" customWidth="1"/>
    <col min="7" max="8" width="9.140625" style="18"/>
  </cols>
  <sheetData>
    <row r="3" spans="2:8" x14ac:dyDescent="0.25">
      <c r="B3" s="18" t="s">
        <v>44</v>
      </c>
      <c r="C3" s="18" t="s">
        <v>71</v>
      </c>
      <c r="D3" s="18" t="s">
        <v>72</v>
      </c>
      <c r="E3" s="18" t="s">
        <v>60</v>
      </c>
      <c r="F3" s="18" t="s">
        <v>61</v>
      </c>
      <c r="G3" s="18" t="s">
        <v>62</v>
      </c>
      <c r="H3" s="18" t="s">
        <v>63</v>
      </c>
    </row>
    <row r="4" spans="2:8" x14ac:dyDescent="0.25">
      <c r="B4" s="18">
        <v>1</v>
      </c>
      <c r="C4" s="33">
        <v>46310</v>
      </c>
      <c r="D4" s="18" t="s">
        <v>56</v>
      </c>
      <c r="E4" s="34">
        <v>300</v>
      </c>
      <c r="F4" s="18" t="s">
        <v>4</v>
      </c>
      <c r="G4" s="18">
        <f>MONTH(C4)</f>
        <v>10</v>
      </c>
      <c r="H4" s="18">
        <f>YEAR(C4)</f>
        <v>2026</v>
      </c>
    </row>
    <row r="5" spans="2:8" x14ac:dyDescent="0.25">
      <c r="B5" s="18">
        <v>2</v>
      </c>
      <c r="C5" s="33">
        <v>46310</v>
      </c>
      <c r="D5" s="18" t="s">
        <v>57</v>
      </c>
      <c r="E5" s="34">
        <v>300</v>
      </c>
      <c r="F5" s="18" t="s">
        <v>4</v>
      </c>
      <c r="G5" s="18">
        <f>MONTH(C5)</f>
        <v>10</v>
      </c>
      <c r="H5" s="18">
        <f>YEAR(C5)</f>
        <v>2026</v>
      </c>
    </row>
    <row r="6" spans="2:8" x14ac:dyDescent="0.25">
      <c r="B6" s="18">
        <v>3</v>
      </c>
      <c r="C6" s="33">
        <v>46310</v>
      </c>
      <c r="D6" s="18" t="s">
        <v>24</v>
      </c>
      <c r="E6" s="34">
        <v>300</v>
      </c>
      <c r="F6" s="18" t="s">
        <v>4</v>
      </c>
      <c r="G6" s="18">
        <f>MONTH(C6)</f>
        <v>10</v>
      </c>
      <c r="H6" s="18">
        <f>YEAR(C6)</f>
        <v>2026</v>
      </c>
    </row>
    <row r="7" spans="2:8" x14ac:dyDescent="0.25">
      <c r="B7" s="18">
        <v>4</v>
      </c>
      <c r="C7" s="33">
        <v>46310</v>
      </c>
      <c r="D7" s="18" t="s">
        <v>30</v>
      </c>
      <c r="E7" s="34">
        <v>300</v>
      </c>
      <c r="F7" s="18" t="s">
        <v>4</v>
      </c>
      <c r="G7" s="18">
        <f>MONTH(C7)</f>
        <v>10</v>
      </c>
      <c r="H7" s="18">
        <f>YEAR(C7)</f>
        <v>2026</v>
      </c>
    </row>
    <row r="8" spans="2:8" x14ac:dyDescent="0.25">
      <c r="C8" s="19"/>
      <c r="E8" s="20"/>
    </row>
    <row r="9" spans="2:8" x14ac:dyDescent="0.25">
      <c r="C9" s="19"/>
      <c r="E9" s="20"/>
    </row>
    <row r="10" spans="2:8" x14ac:dyDescent="0.25">
      <c r="C10" s="19"/>
      <c r="E10" s="20"/>
    </row>
    <row r="11" spans="2:8" x14ac:dyDescent="0.25">
      <c r="C11" s="19"/>
      <c r="E11" s="20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47"/>
  <sheetViews>
    <sheetView workbookViewId="0">
      <selection activeCell="G14" sqref="G14"/>
    </sheetView>
  </sheetViews>
  <sheetFormatPr defaultRowHeight="15" x14ac:dyDescent="0.25"/>
  <cols>
    <col min="1" max="1" width="3.5703125" customWidth="1"/>
    <col min="2" max="2" width="20" bestFit="1" customWidth="1"/>
    <col min="3" max="3" width="13.7109375" bestFit="1" customWidth="1"/>
    <col min="4" max="4" width="14.140625" bestFit="1" customWidth="1"/>
    <col min="5" max="5" width="12.7109375" bestFit="1" customWidth="1"/>
    <col min="6" max="6" width="14.5703125" bestFit="1" customWidth="1"/>
    <col min="7" max="7" width="18.7109375" bestFit="1" customWidth="1"/>
    <col min="8" max="8" width="12.7109375" bestFit="1" customWidth="1"/>
    <col min="9" max="9" width="14.28515625" bestFit="1" customWidth="1"/>
    <col min="10" max="10" width="16.7109375" bestFit="1" customWidth="1"/>
  </cols>
  <sheetData>
    <row r="1" spans="2:10" x14ac:dyDescent="0.25">
      <c r="B1" s="26"/>
      <c r="C1" s="26"/>
      <c r="D1" s="26"/>
      <c r="E1" s="26"/>
      <c r="F1" s="26"/>
      <c r="G1" s="26"/>
      <c r="H1" s="26"/>
    </row>
    <row r="2" spans="2:10" x14ac:dyDescent="0.25">
      <c r="B2" s="21" t="s">
        <v>77</v>
      </c>
      <c r="C2" s="21" t="s">
        <v>78</v>
      </c>
      <c r="D2" s="21" t="s">
        <v>79</v>
      </c>
      <c r="E2" s="21" t="s">
        <v>80</v>
      </c>
      <c r="F2" s="21" t="s">
        <v>81</v>
      </c>
      <c r="G2" s="26"/>
      <c r="H2" s="26"/>
    </row>
    <row r="3" spans="2:10" x14ac:dyDescent="0.25">
      <c r="B3" s="26" t="s">
        <v>56</v>
      </c>
      <c r="C3" s="35">
        <f>SUMIF(Investimentos!D:D,Simulador!B3,Investimentos!E:E)</f>
        <v>300</v>
      </c>
      <c r="D3" s="35">
        <v>300</v>
      </c>
      <c r="E3" s="36">
        <v>0.1</v>
      </c>
      <c r="F3" s="26">
        <v>2045</v>
      </c>
      <c r="G3" s="26"/>
      <c r="H3" s="26"/>
    </row>
    <row r="4" spans="2:10" x14ac:dyDescent="0.25">
      <c r="B4" s="26"/>
      <c r="C4" s="26"/>
      <c r="D4" s="26"/>
      <c r="E4" s="26"/>
      <c r="F4" s="26"/>
      <c r="G4" s="26"/>
      <c r="H4" s="26"/>
    </row>
    <row r="5" spans="2:10" x14ac:dyDescent="0.25">
      <c r="B5" s="21" t="s">
        <v>82</v>
      </c>
      <c r="C5" s="21" t="s">
        <v>83</v>
      </c>
      <c r="D5" s="21" t="s">
        <v>84</v>
      </c>
      <c r="E5" s="26"/>
      <c r="F5" s="26"/>
      <c r="G5" s="26"/>
      <c r="H5" s="26"/>
    </row>
    <row r="6" spans="2:10" x14ac:dyDescent="0.25">
      <c r="B6" s="26">
        <f ca="1">(F3- YEAR(TODAY())) *12</f>
        <v>228</v>
      </c>
      <c r="C6" s="35">
        <f ca="1">C3 + (D3*B6)</f>
        <v>68700</v>
      </c>
      <c r="D6" s="37">
        <f ca="1">FV(E3/12, B6,-D3,-C3)</f>
        <v>204794.71921436119</v>
      </c>
      <c r="E6" s="26"/>
      <c r="F6" s="26"/>
      <c r="G6" s="26"/>
      <c r="H6" s="26"/>
    </row>
    <row r="7" spans="2:10" x14ac:dyDescent="0.25">
      <c r="B7" s="26"/>
      <c r="C7" s="26"/>
      <c r="D7" s="26"/>
      <c r="E7" s="26"/>
      <c r="F7" s="26"/>
      <c r="G7" s="26"/>
      <c r="H7" s="26"/>
    </row>
    <row r="8" spans="2:10" x14ac:dyDescent="0.25">
      <c r="B8" s="26"/>
      <c r="C8" s="26"/>
      <c r="D8" s="26"/>
      <c r="E8" s="26"/>
      <c r="F8" s="26"/>
      <c r="G8" s="26"/>
      <c r="H8" s="26"/>
    </row>
    <row r="9" spans="2:10" x14ac:dyDescent="0.25">
      <c r="B9" s="21" t="s">
        <v>47</v>
      </c>
      <c r="C9" s="21" t="s">
        <v>85</v>
      </c>
      <c r="D9" s="21" t="s">
        <v>86</v>
      </c>
      <c r="E9" s="21" t="s">
        <v>87</v>
      </c>
      <c r="F9" s="21" t="s">
        <v>88</v>
      </c>
      <c r="G9" s="21" t="s">
        <v>89</v>
      </c>
      <c r="H9" s="21" t="s">
        <v>90</v>
      </c>
      <c r="I9" s="21" t="s">
        <v>91</v>
      </c>
      <c r="J9" s="21" t="s">
        <v>92</v>
      </c>
    </row>
    <row r="10" spans="2:10" x14ac:dyDescent="0.25">
      <c r="B10" s="40">
        <f ca="1">YEAR(TODAY())</f>
        <v>2026</v>
      </c>
      <c r="C10" s="40">
        <f ca="1">12-MONTH(TODAY())</f>
        <v>2</v>
      </c>
      <c r="D10" s="23">
        <f ca="1">C10</f>
        <v>2</v>
      </c>
      <c r="E10" s="41">
        <f>$C$3</f>
        <v>300</v>
      </c>
      <c r="F10" s="40">
        <f ca="1">C10*$D$3</f>
        <v>600</v>
      </c>
      <c r="G10" s="41">
        <f ca="1">H10-E10-F10</f>
        <v>7.5208333333316659</v>
      </c>
      <c r="H10" s="41">
        <f ca="1">-FV($E$3/12,C10,$D$3,E10)</f>
        <v>907.52083333333167</v>
      </c>
      <c r="I10" s="41">
        <f ca="1">$C$3+$D$3*D10</f>
        <v>900</v>
      </c>
      <c r="J10" s="41">
        <f ca="1">H10-I10</f>
        <v>7.5208333333316659</v>
      </c>
    </row>
    <row r="11" spans="2:10" x14ac:dyDescent="0.25">
      <c r="B11" s="40">
        <f ca="1">IF(B10="","",IF(D10&gt;=$B$6,"",B10+1))</f>
        <v>2027</v>
      </c>
      <c r="C11" s="40">
        <f ca="1">IF(B11="","",MIN(12,$B$6-D10))</f>
        <v>12</v>
      </c>
      <c r="D11" s="40">
        <f ca="1">IF(B11="","",D10+C11)</f>
        <v>14</v>
      </c>
      <c r="E11" s="41">
        <f ca="1">IF(B11="","",H10)</f>
        <v>907.52083333333167</v>
      </c>
      <c r="F11" s="40">
        <f ca="1">IF(B11="","",C11*$D$3)</f>
        <v>3600</v>
      </c>
      <c r="G11" s="41">
        <f ca="1">IF(B11="","",H11-E11-F11)</f>
        <v>264.69971811190089</v>
      </c>
      <c r="H11" s="41">
        <f ca="1">IF(B11="","",-FV($E$3/12,C11,$D$3,E11))</f>
        <v>4772.2205514452326</v>
      </c>
      <c r="I11" s="41">
        <f ca="1">IF(B11="","",$C$3+$D$3*D11)</f>
        <v>4500</v>
      </c>
      <c r="J11" s="41">
        <f ca="1">IF(B11="","",H11-I11)</f>
        <v>272.22055144523256</v>
      </c>
    </row>
    <row r="12" spans="2:10" x14ac:dyDescent="0.25">
      <c r="B12" s="40">
        <f t="shared" ref="B12:B36" ca="1" si="0">IF(B11="","",IF(D11&gt;=$B$6,"",B11+1))</f>
        <v>2028</v>
      </c>
      <c r="C12" s="40">
        <f t="shared" ref="C12:C46" ca="1" si="1">IF(B12="","",MIN(12,$B$6-D11))</f>
        <v>12</v>
      </c>
      <c r="D12" s="40">
        <f t="shared" ref="D12:D36" ca="1" si="2">IF(B12="","",D11+C12)</f>
        <v>26</v>
      </c>
      <c r="E12" s="41">
        <f t="shared" ref="E12:E36" ca="1" si="3">IF(B12="","",H11)</f>
        <v>4772.2205514452326</v>
      </c>
      <c r="F12" s="40">
        <f t="shared" ref="F12:F36" ca="1" si="4">IF(B12="","",C12*$D$3)</f>
        <v>3600</v>
      </c>
      <c r="G12" s="41">
        <f t="shared" ref="G12:G36" ca="1" si="5">IF(B12="","",H12-E12-F12)</f>
        <v>669.38428033491255</v>
      </c>
      <c r="H12" s="41">
        <f t="shared" ref="H12:H36" ca="1" si="6">IF(B12="","",-FV($E$3/12,C12,$D$3,E12))</f>
        <v>9041.6048317801451</v>
      </c>
      <c r="I12" s="41">
        <f t="shared" ref="I12:I36" ca="1" si="7">IF(B12="","",$C$3+$D$3*D12)</f>
        <v>8100</v>
      </c>
      <c r="J12" s="41">
        <f t="shared" ref="J12:J36" ca="1" si="8">IF(B12="","",H12-I12)</f>
        <v>941.6048317801451</v>
      </c>
    </row>
    <row r="13" spans="2:10" x14ac:dyDescent="0.25">
      <c r="B13" s="40">
        <f t="shared" ca="1" si="0"/>
        <v>2029</v>
      </c>
      <c r="C13" s="40">
        <f t="shared" ca="1" si="1"/>
        <v>12</v>
      </c>
      <c r="D13" s="40">
        <f t="shared" ca="1" si="2"/>
        <v>38</v>
      </c>
      <c r="E13" s="41">
        <f t="shared" ca="1" si="3"/>
        <v>9041.6048317801451</v>
      </c>
      <c r="F13" s="40">
        <f t="shared" ca="1" si="4"/>
        <v>3600</v>
      </c>
      <c r="G13" s="41">
        <f t="shared" ca="1" si="5"/>
        <v>1116.4446044144352</v>
      </c>
      <c r="H13" s="41">
        <f t="shared" ca="1" si="6"/>
        <v>13758.04943619458</v>
      </c>
      <c r="I13" s="41">
        <f t="shared" ca="1" si="7"/>
        <v>11700</v>
      </c>
      <c r="J13" s="41">
        <f t="shared" ca="1" si="8"/>
        <v>2058.0494361945803</v>
      </c>
    </row>
    <row r="14" spans="2:10" x14ac:dyDescent="0.25">
      <c r="B14" s="40">
        <f t="shared" ca="1" si="0"/>
        <v>2030</v>
      </c>
      <c r="C14" s="40">
        <f t="shared" ca="1" si="1"/>
        <v>12</v>
      </c>
      <c r="D14" s="40">
        <f t="shared" ca="1" si="2"/>
        <v>50</v>
      </c>
      <c r="E14" s="41">
        <f t="shared" ca="1" si="3"/>
        <v>13758.04943619458</v>
      </c>
      <c r="F14" s="40">
        <f t="shared" ca="1" si="4"/>
        <v>3600</v>
      </c>
      <c r="G14" s="41">
        <f t="shared" ca="1" si="5"/>
        <v>1610.3179863596251</v>
      </c>
      <c r="H14" s="41">
        <f t="shared" ca="1" si="6"/>
        <v>18968.367422554205</v>
      </c>
      <c r="I14" s="41">
        <f t="shared" ca="1" si="7"/>
        <v>15300</v>
      </c>
      <c r="J14" s="41">
        <f t="shared" ca="1" si="8"/>
        <v>3668.3674225542054</v>
      </c>
    </row>
    <row r="15" spans="2:10" x14ac:dyDescent="0.25">
      <c r="B15" s="40">
        <f t="shared" ca="1" si="0"/>
        <v>2031</v>
      </c>
      <c r="C15" s="40">
        <f t="shared" ca="1" si="1"/>
        <v>12</v>
      </c>
      <c r="D15" s="40">
        <f t="shared" ca="1" si="2"/>
        <v>62</v>
      </c>
      <c r="E15" s="41">
        <f t="shared" ca="1" si="3"/>
        <v>18968.367422554205</v>
      </c>
      <c r="F15" s="40">
        <f t="shared" ca="1" si="4"/>
        <v>3600</v>
      </c>
      <c r="G15" s="41">
        <f t="shared" ca="1" si="5"/>
        <v>2155.9063650559001</v>
      </c>
      <c r="H15" s="41">
        <f t="shared" ca="1" si="6"/>
        <v>24724.273787610106</v>
      </c>
      <c r="I15" s="41">
        <f t="shared" ca="1" si="7"/>
        <v>18900</v>
      </c>
      <c r="J15" s="41">
        <f t="shared" ca="1" si="8"/>
        <v>5824.2737876101055</v>
      </c>
    </row>
    <row r="16" spans="2:10" x14ac:dyDescent="0.25">
      <c r="B16" s="40">
        <f t="shared" ca="1" si="0"/>
        <v>2032</v>
      </c>
      <c r="C16" s="40">
        <f t="shared" ca="1" si="1"/>
        <v>12</v>
      </c>
      <c r="D16" s="40">
        <f t="shared" ca="1" si="2"/>
        <v>74</v>
      </c>
      <c r="E16" s="41">
        <f t="shared" ca="1" si="3"/>
        <v>24724.273787610106</v>
      </c>
      <c r="F16" s="40">
        <f t="shared" ca="1" si="4"/>
        <v>3600</v>
      </c>
      <c r="G16" s="41">
        <f t="shared" ca="1" si="5"/>
        <v>2758.6249764457898</v>
      </c>
      <c r="H16" s="41">
        <f t="shared" ca="1" si="6"/>
        <v>31082.898764055895</v>
      </c>
      <c r="I16" s="41">
        <f t="shared" ca="1" si="7"/>
        <v>22500</v>
      </c>
      <c r="J16" s="41">
        <f t="shared" ca="1" si="8"/>
        <v>8582.8987640558953</v>
      </c>
    </row>
    <row r="17" spans="2:10" x14ac:dyDescent="0.25">
      <c r="B17" s="40">
        <f t="shared" ca="1" si="0"/>
        <v>2033</v>
      </c>
      <c r="C17" s="40">
        <f t="shared" ca="1" si="1"/>
        <v>12</v>
      </c>
      <c r="D17" s="40">
        <f t="shared" ca="1" si="2"/>
        <v>86</v>
      </c>
      <c r="E17" s="41">
        <f t="shared" ca="1" si="3"/>
        <v>31082.898764055895</v>
      </c>
      <c r="F17" s="40">
        <f t="shared" ca="1" si="4"/>
        <v>3600</v>
      </c>
      <c r="G17" s="41">
        <f t="shared" ca="1" si="5"/>
        <v>3424.4561024382674</v>
      </c>
      <c r="H17" s="41">
        <f t="shared" ca="1" si="6"/>
        <v>38107.354866494163</v>
      </c>
      <c r="I17" s="41">
        <f t="shared" ca="1" si="7"/>
        <v>26100</v>
      </c>
      <c r="J17" s="41">
        <f t="shared" ca="1" si="8"/>
        <v>12007.354866494163</v>
      </c>
    </row>
    <row r="18" spans="2:10" x14ac:dyDescent="0.25">
      <c r="B18" s="40">
        <f t="shared" ca="1" si="0"/>
        <v>2034</v>
      </c>
      <c r="C18" s="40">
        <f t="shared" ca="1" si="1"/>
        <v>12</v>
      </c>
      <c r="D18" s="40">
        <f t="shared" ca="1" si="2"/>
        <v>98</v>
      </c>
      <c r="E18" s="41">
        <f t="shared" ca="1" si="3"/>
        <v>38107.354866494163</v>
      </c>
      <c r="F18" s="40">
        <f t="shared" ca="1" si="4"/>
        <v>3600</v>
      </c>
      <c r="G18" s="41">
        <f t="shared" ca="1" si="5"/>
        <v>4160.0084480313235</v>
      </c>
      <c r="H18" s="41">
        <f t="shared" ca="1" si="6"/>
        <v>45867.363314525486</v>
      </c>
      <c r="I18" s="41">
        <f t="shared" ca="1" si="7"/>
        <v>29700</v>
      </c>
      <c r="J18" s="41">
        <f t="shared" ca="1" si="8"/>
        <v>16167.363314525486</v>
      </c>
    </row>
    <row r="19" spans="2:10" x14ac:dyDescent="0.25">
      <c r="B19" s="40">
        <f t="shared" ca="1" si="0"/>
        <v>2035</v>
      </c>
      <c r="C19" s="40">
        <f t="shared" ca="1" si="1"/>
        <v>12</v>
      </c>
      <c r="D19" s="40">
        <f t="shared" ca="1" si="2"/>
        <v>110</v>
      </c>
      <c r="E19" s="41">
        <f t="shared" ca="1" si="3"/>
        <v>45867.363314525486</v>
      </c>
      <c r="F19" s="40">
        <f t="shared" ca="1" si="4"/>
        <v>3600</v>
      </c>
      <c r="G19" s="41">
        <f t="shared" ca="1" si="5"/>
        <v>4972.5827359950636</v>
      </c>
      <c r="H19" s="41">
        <f t="shared" ca="1" si="6"/>
        <v>54439.94605052055</v>
      </c>
      <c r="I19" s="41">
        <f t="shared" ca="1" si="7"/>
        <v>33300</v>
      </c>
      <c r="J19" s="41">
        <f t="shared" ca="1" si="8"/>
        <v>21139.94605052055</v>
      </c>
    </row>
    <row r="20" spans="2:10" x14ac:dyDescent="0.25">
      <c r="B20" s="40">
        <f t="shared" ca="1" si="0"/>
        <v>2036</v>
      </c>
      <c r="C20" s="40">
        <f t="shared" ca="1" si="1"/>
        <v>12</v>
      </c>
      <c r="D20" s="40">
        <f t="shared" ca="1" si="2"/>
        <v>122</v>
      </c>
      <c r="E20" s="41">
        <f t="shared" ca="1" si="3"/>
        <v>54439.94605052055</v>
      </c>
      <c r="F20" s="40">
        <f t="shared" ca="1" si="4"/>
        <v>3600</v>
      </c>
      <c r="G20" s="41">
        <f t="shared" ca="1" si="5"/>
        <v>5870.2441701753996</v>
      </c>
      <c r="H20" s="41">
        <f t="shared" ca="1" si="6"/>
        <v>63910.190220695949</v>
      </c>
      <c r="I20" s="41">
        <f t="shared" ca="1" si="7"/>
        <v>36900</v>
      </c>
      <c r="J20" s="41">
        <f t="shared" ca="1" si="8"/>
        <v>27010.190220695949</v>
      </c>
    </row>
    <row r="21" spans="2:10" x14ac:dyDescent="0.25">
      <c r="B21" s="40">
        <f t="shared" ca="1" si="0"/>
        <v>2037</v>
      </c>
      <c r="C21" s="40">
        <f t="shared" ca="1" si="1"/>
        <v>12</v>
      </c>
      <c r="D21" s="40">
        <f t="shared" ca="1" si="2"/>
        <v>134</v>
      </c>
      <c r="E21" s="41">
        <f t="shared" ca="1" si="3"/>
        <v>63910.190220695949</v>
      </c>
      <c r="F21" s="40">
        <f t="shared" ca="1" si="4"/>
        <v>3600</v>
      </c>
      <c r="G21" s="41">
        <f t="shared" ca="1" si="5"/>
        <v>6861.9024866525288</v>
      </c>
      <c r="H21" s="41">
        <f t="shared" ca="1" si="6"/>
        <v>74372.092707348478</v>
      </c>
      <c r="I21" s="41">
        <f t="shared" ca="1" si="7"/>
        <v>40500</v>
      </c>
      <c r="J21" s="41">
        <f t="shared" ca="1" si="8"/>
        <v>33872.092707348478</v>
      </c>
    </row>
    <row r="22" spans="2:10" x14ac:dyDescent="0.25">
      <c r="B22" s="40">
        <f t="shared" ca="1" si="0"/>
        <v>2038</v>
      </c>
      <c r="C22" s="40">
        <f t="shared" ca="1" si="1"/>
        <v>12</v>
      </c>
      <c r="D22" s="40">
        <f t="shared" ca="1" si="2"/>
        <v>146</v>
      </c>
      <c r="E22" s="41">
        <f t="shared" ca="1" si="3"/>
        <v>74372.092707348478</v>
      </c>
      <c r="F22" s="40">
        <f t="shared" ca="1" si="4"/>
        <v>3600</v>
      </c>
      <c r="G22" s="41">
        <f t="shared" ca="1" si="5"/>
        <v>7957.4003873016482</v>
      </c>
      <c r="H22" s="41">
        <f t="shared" ca="1" si="6"/>
        <v>85929.493094650126</v>
      </c>
      <c r="I22" s="41">
        <f t="shared" ca="1" si="7"/>
        <v>44100</v>
      </c>
      <c r="J22" s="41">
        <f t="shared" ca="1" si="8"/>
        <v>41829.493094650126</v>
      </c>
    </row>
    <row r="23" spans="2:10" x14ac:dyDescent="0.25">
      <c r="B23" s="40">
        <f t="shared" ca="1" si="0"/>
        <v>2039</v>
      </c>
      <c r="C23" s="40">
        <f t="shared" ca="1" si="1"/>
        <v>12</v>
      </c>
      <c r="D23" s="40">
        <f t="shared" ca="1" si="2"/>
        <v>158</v>
      </c>
      <c r="E23" s="41">
        <f t="shared" ca="1" si="3"/>
        <v>85929.493094650126</v>
      </c>
      <c r="F23" s="40">
        <f t="shared" ca="1" si="4"/>
        <v>3600</v>
      </c>
      <c r="G23" s="41">
        <f t="shared" ca="1" si="5"/>
        <v>9167.6112335032376</v>
      </c>
      <c r="H23" s="41">
        <f t="shared" ca="1" si="6"/>
        <v>98697.104328153364</v>
      </c>
      <c r="I23" s="41">
        <f t="shared" ca="1" si="7"/>
        <v>47700</v>
      </c>
      <c r="J23" s="41">
        <f t="shared" ca="1" si="8"/>
        <v>50997.104328153364</v>
      </c>
    </row>
    <row r="24" spans="2:10" x14ac:dyDescent="0.25">
      <c r="B24" s="40">
        <f t="shared" ca="1" si="0"/>
        <v>2040</v>
      </c>
      <c r="C24" s="40">
        <f t="shared" ca="1" si="1"/>
        <v>12</v>
      </c>
      <c r="D24" s="40">
        <f t="shared" ca="1" si="2"/>
        <v>170</v>
      </c>
      <c r="E24" s="41">
        <f t="shared" ca="1" si="3"/>
        <v>98697.104328153364</v>
      </c>
      <c r="F24" s="40">
        <f t="shared" ca="1" si="4"/>
        <v>3600</v>
      </c>
      <c r="G24" s="41">
        <f t="shared" ca="1" si="5"/>
        <v>10504.546969661315</v>
      </c>
      <c r="H24" s="41">
        <f t="shared" ca="1" si="6"/>
        <v>112801.65129781468</v>
      </c>
      <c r="I24" s="41">
        <f t="shared" ca="1" si="7"/>
        <v>51300</v>
      </c>
      <c r="J24" s="41">
        <f t="shared" ca="1" si="8"/>
        <v>61501.651297814678</v>
      </c>
    </row>
    <row r="25" spans="2:10" x14ac:dyDescent="0.25">
      <c r="B25" s="40">
        <f t="shared" ca="1" si="0"/>
        <v>2041</v>
      </c>
      <c r="C25" s="40">
        <f t="shared" ca="1" si="1"/>
        <v>12</v>
      </c>
      <c r="D25" s="40">
        <f t="shared" ca="1" si="2"/>
        <v>182</v>
      </c>
      <c r="E25" s="41">
        <f t="shared" ca="1" si="3"/>
        <v>112801.65129781468</v>
      </c>
      <c r="F25" s="40">
        <f t="shared" ca="1" si="4"/>
        <v>3600</v>
      </c>
      <c r="G25" s="41">
        <f t="shared" ca="1" si="5"/>
        <v>11981.477347724402</v>
      </c>
      <c r="H25" s="41">
        <f t="shared" ca="1" si="6"/>
        <v>128383.12864553908</v>
      </c>
      <c r="I25" s="41">
        <f t="shared" ca="1" si="7"/>
        <v>54900</v>
      </c>
      <c r="J25" s="41">
        <f t="shared" ca="1" si="8"/>
        <v>73483.12864553908</v>
      </c>
    </row>
    <row r="26" spans="2:10" x14ac:dyDescent="0.25">
      <c r="B26" s="40">
        <f t="shared" ca="1" si="0"/>
        <v>2042</v>
      </c>
      <c r="C26" s="40">
        <f t="shared" ca="1" si="1"/>
        <v>12</v>
      </c>
      <c r="D26" s="40">
        <f t="shared" ca="1" si="2"/>
        <v>194</v>
      </c>
      <c r="E26" s="41">
        <f t="shared" ca="1" si="3"/>
        <v>128383.12864553908</v>
      </c>
      <c r="F26" s="40">
        <f t="shared" ca="1" si="4"/>
        <v>3600</v>
      </c>
      <c r="G26" s="41">
        <f t="shared" ca="1" si="5"/>
        <v>13613.06163607171</v>
      </c>
      <c r="H26" s="41">
        <f t="shared" ca="1" si="6"/>
        <v>145596.19028161079</v>
      </c>
      <c r="I26" s="41">
        <f t="shared" ca="1" si="7"/>
        <v>58500</v>
      </c>
      <c r="J26" s="41">
        <f t="shared" ca="1" si="8"/>
        <v>87096.19028161079</v>
      </c>
    </row>
    <row r="27" spans="2:10" x14ac:dyDescent="0.25">
      <c r="B27" s="40">
        <f t="shared" ca="1" si="0"/>
        <v>2043</v>
      </c>
      <c r="C27" s="40">
        <f t="shared" ca="1" si="1"/>
        <v>12</v>
      </c>
      <c r="D27" s="40">
        <f t="shared" ca="1" si="2"/>
        <v>206</v>
      </c>
      <c r="E27" s="41">
        <f t="shared" ca="1" si="3"/>
        <v>145596.19028161079</v>
      </c>
      <c r="F27" s="40">
        <f t="shared" ca="1" si="4"/>
        <v>3600</v>
      </c>
      <c r="G27" s="41">
        <f t="shared" ca="1" si="5"/>
        <v>15415.494120040879</v>
      </c>
      <c r="H27" s="41">
        <f t="shared" ca="1" si="6"/>
        <v>164611.68440165167</v>
      </c>
      <c r="I27" s="41">
        <f t="shared" ca="1" si="7"/>
        <v>62100</v>
      </c>
      <c r="J27" s="41">
        <f t="shared" ca="1" si="8"/>
        <v>102511.68440165167</v>
      </c>
    </row>
    <row r="28" spans="2:10" x14ac:dyDescent="0.25">
      <c r="B28" s="40">
        <f t="shared" ca="1" si="0"/>
        <v>2044</v>
      </c>
      <c r="C28" s="40">
        <f t="shared" ca="1" si="1"/>
        <v>12</v>
      </c>
      <c r="D28" s="40">
        <f t="shared" ca="1" si="2"/>
        <v>218</v>
      </c>
      <c r="E28" s="41">
        <f t="shared" ca="1" si="3"/>
        <v>164611.68440165167</v>
      </c>
      <c r="F28" s="40">
        <f t="shared" ca="1" si="4"/>
        <v>3600</v>
      </c>
      <c r="G28" s="41">
        <f t="shared" ca="1" si="5"/>
        <v>17406.66483826231</v>
      </c>
      <c r="H28" s="41">
        <f t="shared" ca="1" si="6"/>
        <v>185618.34923991398</v>
      </c>
      <c r="I28" s="41">
        <f t="shared" ca="1" si="7"/>
        <v>65700</v>
      </c>
      <c r="J28" s="41">
        <f t="shared" ca="1" si="8"/>
        <v>119918.34923991398</v>
      </c>
    </row>
    <row r="29" spans="2:10" x14ac:dyDescent="0.25">
      <c r="B29" s="40">
        <f t="shared" ca="1" si="0"/>
        <v>2045</v>
      </c>
      <c r="C29" s="40">
        <f t="shared" ca="1" si="1"/>
        <v>10</v>
      </c>
      <c r="D29" s="40">
        <f t="shared" ca="1" si="2"/>
        <v>228</v>
      </c>
      <c r="E29" s="41">
        <f t="shared" ca="1" si="3"/>
        <v>185618.34923991398</v>
      </c>
      <c r="F29" s="40">
        <f t="shared" ca="1" si="4"/>
        <v>3000</v>
      </c>
      <c r="G29" s="41">
        <f t="shared" ca="1" si="5"/>
        <v>16176.369974447647</v>
      </c>
      <c r="H29" s="41">
        <f t="shared" ca="1" si="6"/>
        <v>204794.71921436163</v>
      </c>
      <c r="I29" s="41">
        <f t="shared" ca="1" si="7"/>
        <v>68700</v>
      </c>
      <c r="J29" s="41">
        <f t="shared" ca="1" si="8"/>
        <v>136094.71921436163</v>
      </c>
    </row>
    <row r="30" spans="2:10" x14ac:dyDescent="0.25">
      <c r="B30" t="str">
        <f t="shared" ca="1" si="0"/>
        <v/>
      </c>
      <c r="C30" t="str">
        <f t="shared" ca="1" si="1"/>
        <v/>
      </c>
      <c r="D30" t="str">
        <f t="shared" ca="1" si="2"/>
        <v/>
      </c>
      <c r="E30" s="24" t="str">
        <f t="shared" ca="1" si="3"/>
        <v/>
      </c>
      <c r="F30" t="str">
        <f t="shared" ca="1" si="4"/>
        <v/>
      </c>
      <c r="G30" s="24" t="str">
        <f t="shared" ca="1" si="5"/>
        <v/>
      </c>
      <c r="H30" s="24" t="str">
        <f t="shared" ca="1" si="6"/>
        <v/>
      </c>
      <c r="I30" s="24" t="str">
        <f t="shared" ca="1" si="7"/>
        <v/>
      </c>
      <c r="J30" s="24" t="str">
        <f t="shared" ca="1" si="8"/>
        <v/>
      </c>
    </row>
    <row r="31" spans="2:10" x14ac:dyDescent="0.25">
      <c r="B31" t="str">
        <f t="shared" ca="1" si="0"/>
        <v/>
      </c>
      <c r="C31" t="str">
        <f t="shared" ca="1" si="1"/>
        <v/>
      </c>
      <c r="D31" t="str">
        <f t="shared" ca="1" si="2"/>
        <v/>
      </c>
      <c r="E31" s="24" t="str">
        <f t="shared" ca="1" si="3"/>
        <v/>
      </c>
      <c r="F31" t="str">
        <f t="shared" ca="1" si="4"/>
        <v/>
      </c>
      <c r="G31" s="24" t="str">
        <f t="shared" ca="1" si="5"/>
        <v/>
      </c>
      <c r="H31" s="24" t="str">
        <f t="shared" ca="1" si="6"/>
        <v/>
      </c>
      <c r="I31" s="24" t="str">
        <f t="shared" ca="1" si="7"/>
        <v/>
      </c>
      <c r="J31" s="24" t="str">
        <f t="shared" ca="1" si="8"/>
        <v/>
      </c>
    </row>
    <row r="32" spans="2:10" x14ac:dyDescent="0.25">
      <c r="B32" t="str">
        <f t="shared" ca="1" si="0"/>
        <v/>
      </c>
      <c r="C32" t="str">
        <f t="shared" ca="1" si="1"/>
        <v/>
      </c>
      <c r="D32" t="str">
        <f t="shared" ca="1" si="2"/>
        <v/>
      </c>
      <c r="E32" s="24" t="str">
        <f t="shared" ca="1" si="3"/>
        <v/>
      </c>
      <c r="F32" t="str">
        <f t="shared" ca="1" si="4"/>
        <v/>
      </c>
      <c r="G32" s="24" t="str">
        <f t="shared" ca="1" si="5"/>
        <v/>
      </c>
      <c r="H32" s="24" t="str">
        <f t="shared" ca="1" si="6"/>
        <v/>
      </c>
      <c r="I32" s="24" t="str">
        <f t="shared" ca="1" si="7"/>
        <v/>
      </c>
      <c r="J32" s="24" t="str">
        <f t="shared" ca="1" si="8"/>
        <v/>
      </c>
    </row>
    <row r="33" spans="2:10" x14ac:dyDescent="0.25">
      <c r="B33" t="str">
        <f t="shared" ca="1" si="0"/>
        <v/>
      </c>
      <c r="C33" t="str">
        <f t="shared" ca="1" si="1"/>
        <v/>
      </c>
      <c r="D33" t="str">
        <f t="shared" ca="1" si="2"/>
        <v/>
      </c>
      <c r="E33" s="24" t="str">
        <f t="shared" ca="1" si="3"/>
        <v/>
      </c>
      <c r="F33" t="str">
        <f t="shared" ca="1" si="4"/>
        <v/>
      </c>
      <c r="G33" s="24" t="str">
        <f t="shared" ca="1" si="5"/>
        <v/>
      </c>
      <c r="H33" s="24" t="str">
        <f t="shared" ca="1" si="6"/>
        <v/>
      </c>
      <c r="I33" s="24" t="str">
        <f t="shared" ca="1" si="7"/>
        <v/>
      </c>
      <c r="J33" s="24" t="str">
        <f t="shared" ca="1" si="8"/>
        <v/>
      </c>
    </row>
    <row r="34" spans="2:10" x14ac:dyDescent="0.25">
      <c r="B34" t="str">
        <f t="shared" ca="1" si="0"/>
        <v/>
      </c>
      <c r="C34" t="str">
        <f t="shared" ca="1" si="1"/>
        <v/>
      </c>
      <c r="D34" t="str">
        <f t="shared" ca="1" si="2"/>
        <v/>
      </c>
      <c r="E34" s="24" t="str">
        <f t="shared" ca="1" si="3"/>
        <v/>
      </c>
      <c r="F34" t="str">
        <f t="shared" ca="1" si="4"/>
        <v/>
      </c>
      <c r="G34" s="24" t="str">
        <f t="shared" ca="1" si="5"/>
        <v/>
      </c>
      <c r="H34" s="24" t="str">
        <f t="shared" ca="1" si="6"/>
        <v/>
      </c>
      <c r="I34" s="24" t="str">
        <f t="shared" ca="1" si="7"/>
        <v/>
      </c>
      <c r="J34" s="24" t="str">
        <f t="shared" ca="1" si="8"/>
        <v/>
      </c>
    </row>
    <row r="35" spans="2:10" x14ac:dyDescent="0.25">
      <c r="B35" t="str">
        <f t="shared" ca="1" si="0"/>
        <v/>
      </c>
      <c r="C35" t="str">
        <f t="shared" ca="1" si="1"/>
        <v/>
      </c>
      <c r="D35" t="str">
        <f t="shared" ca="1" si="2"/>
        <v/>
      </c>
      <c r="E35" s="24" t="str">
        <f t="shared" ca="1" si="3"/>
        <v/>
      </c>
      <c r="F35" t="str">
        <f t="shared" ca="1" si="4"/>
        <v/>
      </c>
      <c r="G35" s="24" t="str">
        <f t="shared" ca="1" si="5"/>
        <v/>
      </c>
      <c r="H35" s="24" t="str">
        <f t="shared" ca="1" si="6"/>
        <v/>
      </c>
      <c r="I35" s="24" t="str">
        <f t="shared" ca="1" si="7"/>
        <v/>
      </c>
      <c r="J35" s="24" t="str">
        <f t="shared" ca="1" si="8"/>
        <v/>
      </c>
    </row>
    <row r="36" spans="2:10" x14ac:dyDescent="0.25">
      <c r="B36" t="str">
        <f t="shared" ca="1" si="0"/>
        <v/>
      </c>
      <c r="C36" t="str">
        <f t="shared" ca="1" si="1"/>
        <v/>
      </c>
      <c r="D36" t="str">
        <f t="shared" ca="1" si="2"/>
        <v/>
      </c>
      <c r="E36" s="24" t="str">
        <f t="shared" ca="1" si="3"/>
        <v/>
      </c>
      <c r="F36" t="str">
        <f t="shared" ca="1" si="4"/>
        <v/>
      </c>
      <c r="G36" s="24" t="str">
        <f t="shared" ca="1" si="5"/>
        <v/>
      </c>
      <c r="H36" s="24" t="str">
        <f t="shared" ca="1" si="6"/>
        <v/>
      </c>
      <c r="I36" s="24" t="str">
        <f t="shared" ca="1" si="7"/>
        <v/>
      </c>
      <c r="J36" s="24" t="str">
        <f t="shared" ca="1" si="8"/>
        <v/>
      </c>
    </row>
    <row r="37" spans="2:10" x14ac:dyDescent="0.25">
      <c r="B37" t="str">
        <f ca="1">IF(B36="","",IF(D36&gt;=$B$6,"",B36+1))</f>
        <v/>
      </c>
      <c r="C37" t="str">
        <f ca="1">IF(B37="","",MIN(12,$B$6-D36))</f>
        <v/>
      </c>
      <c r="D37" t="str">
        <f ca="1">IF(B37="","",D36+C37)</f>
        <v/>
      </c>
      <c r="E37" s="24" t="str">
        <f ca="1">IF(B37="","",H36)</f>
        <v/>
      </c>
      <c r="F37" t="str">
        <f ca="1">IF(B37="","",C37*$D$3)</f>
        <v/>
      </c>
      <c r="G37" s="24" t="str">
        <f ca="1">IF(B37="","",H37-E37-F37)</f>
        <v/>
      </c>
      <c r="H37" s="24" t="str">
        <f ca="1">IF(B37="","",-FV($E$3/12,C37,$D$3,E37))</f>
        <v/>
      </c>
      <c r="I37" s="24" t="str">
        <f ca="1">IF(B37="","",$C$3+$D$3*D37)</f>
        <v/>
      </c>
      <c r="J37" s="24" t="str">
        <f ca="1">IF(B37="","",H37-I37)</f>
        <v/>
      </c>
    </row>
    <row r="38" spans="2:10" x14ac:dyDescent="0.25">
      <c r="B38" t="str">
        <f t="shared" ref="B38:B46" ca="1" si="9">IF(B37="","",IF(D37&gt;=$B$6,"",B37+1))</f>
        <v/>
      </c>
      <c r="C38" t="str">
        <f t="shared" ca="1" si="1"/>
        <v/>
      </c>
      <c r="D38" t="str">
        <f t="shared" ref="D38:D46" ca="1" si="10">IF(B38="","",D37+C38)</f>
        <v/>
      </c>
      <c r="E38" s="24" t="str">
        <f t="shared" ref="E38:E46" ca="1" si="11">IF(B38="","",H37)</f>
        <v/>
      </c>
      <c r="F38" t="str">
        <f t="shared" ref="F38:F46" ca="1" si="12">IF(B38="","",C38*$D$3)</f>
        <v/>
      </c>
      <c r="G38" s="24" t="str">
        <f t="shared" ref="G38:G46" ca="1" si="13">IF(B38="","",H38-E38-F38)</f>
        <v/>
      </c>
      <c r="H38" s="24" t="str">
        <f t="shared" ref="H38:H46" ca="1" si="14">IF(B38="","",-FV($E$3/12,C38,$D$3,E38))</f>
        <v/>
      </c>
      <c r="I38" s="24" t="str">
        <f t="shared" ref="I38:I46" ca="1" si="15">IF(B38="","",$C$3+$D$3*D38)</f>
        <v/>
      </c>
      <c r="J38" s="24" t="str">
        <f t="shared" ref="J38:J46" ca="1" si="16">IF(B38="","",H38-I38)</f>
        <v/>
      </c>
    </row>
    <row r="39" spans="2:10" x14ac:dyDescent="0.25">
      <c r="B39" t="str">
        <f t="shared" ca="1" si="9"/>
        <v/>
      </c>
      <c r="C39" t="str">
        <f t="shared" ca="1" si="1"/>
        <v/>
      </c>
      <c r="D39" t="str">
        <f t="shared" ca="1" si="10"/>
        <v/>
      </c>
      <c r="E39" s="24" t="str">
        <f t="shared" ca="1" si="11"/>
        <v/>
      </c>
      <c r="F39" t="str">
        <f t="shared" ca="1" si="12"/>
        <v/>
      </c>
      <c r="G39" s="24" t="str">
        <f t="shared" ca="1" si="13"/>
        <v/>
      </c>
      <c r="H39" s="24" t="str">
        <f t="shared" ca="1" si="14"/>
        <v/>
      </c>
      <c r="I39" s="24" t="str">
        <f t="shared" ca="1" si="15"/>
        <v/>
      </c>
      <c r="J39" s="24" t="str">
        <f t="shared" ca="1" si="16"/>
        <v/>
      </c>
    </row>
    <row r="40" spans="2:10" x14ac:dyDescent="0.25">
      <c r="B40" t="str">
        <f t="shared" ca="1" si="9"/>
        <v/>
      </c>
      <c r="C40" t="str">
        <f t="shared" ca="1" si="1"/>
        <v/>
      </c>
      <c r="D40" t="str">
        <f t="shared" ca="1" si="10"/>
        <v/>
      </c>
      <c r="E40" s="24" t="str">
        <f t="shared" ca="1" si="11"/>
        <v/>
      </c>
      <c r="F40" t="str">
        <f t="shared" ca="1" si="12"/>
        <v/>
      </c>
      <c r="G40" s="24" t="str">
        <f t="shared" ca="1" si="13"/>
        <v/>
      </c>
      <c r="H40" s="24" t="str">
        <f t="shared" ca="1" si="14"/>
        <v/>
      </c>
      <c r="I40" s="24" t="str">
        <f t="shared" ca="1" si="15"/>
        <v/>
      </c>
      <c r="J40" s="24" t="str">
        <f t="shared" ca="1" si="16"/>
        <v/>
      </c>
    </row>
    <row r="41" spans="2:10" x14ac:dyDescent="0.25">
      <c r="B41" t="str">
        <f t="shared" ca="1" si="9"/>
        <v/>
      </c>
      <c r="C41" t="str">
        <f t="shared" ca="1" si="1"/>
        <v/>
      </c>
      <c r="D41" t="str">
        <f t="shared" ca="1" si="10"/>
        <v/>
      </c>
      <c r="E41" s="24" t="str">
        <f t="shared" ca="1" si="11"/>
        <v/>
      </c>
      <c r="F41" t="str">
        <f t="shared" ca="1" si="12"/>
        <v/>
      </c>
      <c r="G41" s="24" t="str">
        <f t="shared" ca="1" si="13"/>
        <v/>
      </c>
      <c r="H41" s="24" t="str">
        <f t="shared" ca="1" si="14"/>
        <v/>
      </c>
      <c r="I41" s="24" t="str">
        <f t="shared" ca="1" si="15"/>
        <v/>
      </c>
      <c r="J41" s="24" t="str">
        <f t="shared" ca="1" si="16"/>
        <v/>
      </c>
    </row>
    <row r="42" spans="2:10" x14ac:dyDescent="0.25">
      <c r="B42" t="str">
        <f t="shared" ca="1" si="9"/>
        <v/>
      </c>
      <c r="C42" t="str">
        <f t="shared" ca="1" si="1"/>
        <v/>
      </c>
      <c r="D42" t="str">
        <f t="shared" ca="1" si="10"/>
        <v/>
      </c>
      <c r="E42" s="24" t="str">
        <f t="shared" ca="1" si="11"/>
        <v/>
      </c>
      <c r="F42" t="str">
        <f t="shared" ca="1" si="12"/>
        <v/>
      </c>
      <c r="G42" s="24" t="str">
        <f t="shared" ca="1" si="13"/>
        <v/>
      </c>
      <c r="H42" s="24" t="str">
        <f t="shared" ca="1" si="14"/>
        <v/>
      </c>
      <c r="I42" s="24" t="str">
        <f t="shared" ca="1" si="15"/>
        <v/>
      </c>
      <c r="J42" s="24" t="str">
        <f t="shared" ca="1" si="16"/>
        <v/>
      </c>
    </row>
    <row r="43" spans="2:10" x14ac:dyDescent="0.25">
      <c r="B43" t="str">
        <f t="shared" ca="1" si="9"/>
        <v/>
      </c>
      <c r="C43" t="str">
        <f t="shared" ca="1" si="1"/>
        <v/>
      </c>
      <c r="D43" t="str">
        <f t="shared" ca="1" si="10"/>
        <v/>
      </c>
      <c r="E43" s="24" t="str">
        <f t="shared" ca="1" si="11"/>
        <v/>
      </c>
      <c r="F43" t="str">
        <f t="shared" ca="1" si="12"/>
        <v/>
      </c>
      <c r="G43" s="24" t="str">
        <f t="shared" ca="1" si="13"/>
        <v/>
      </c>
      <c r="H43" s="24" t="str">
        <f t="shared" ca="1" si="14"/>
        <v/>
      </c>
      <c r="I43" s="24" t="str">
        <f t="shared" ca="1" si="15"/>
        <v/>
      </c>
      <c r="J43" s="24" t="str">
        <f t="shared" ca="1" si="16"/>
        <v/>
      </c>
    </row>
    <row r="44" spans="2:10" x14ac:dyDescent="0.25">
      <c r="B44" t="str">
        <f t="shared" ca="1" si="9"/>
        <v/>
      </c>
      <c r="C44" t="str">
        <f t="shared" ca="1" si="1"/>
        <v/>
      </c>
      <c r="D44" t="str">
        <f t="shared" ca="1" si="10"/>
        <v/>
      </c>
      <c r="E44" s="24" t="str">
        <f t="shared" ca="1" si="11"/>
        <v/>
      </c>
      <c r="F44" t="str">
        <f t="shared" ca="1" si="12"/>
        <v/>
      </c>
      <c r="G44" s="24" t="str">
        <f t="shared" ca="1" si="13"/>
        <v/>
      </c>
      <c r="H44" s="24" t="str">
        <f t="shared" ca="1" si="14"/>
        <v/>
      </c>
      <c r="I44" s="24" t="str">
        <f t="shared" ca="1" si="15"/>
        <v/>
      </c>
      <c r="J44" s="24" t="str">
        <f t="shared" ca="1" si="16"/>
        <v/>
      </c>
    </row>
    <row r="45" spans="2:10" x14ac:dyDescent="0.25">
      <c r="B45" t="str">
        <f t="shared" ca="1" si="9"/>
        <v/>
      </c>
      <c r="C45" t="str">
        <f t="shared" ca="1" si="1"/>
        <v/>
      </c>
      <c r="D45" t="str">
        <f t="shared" ca="1" si="10"/>
        <v/>
      </c>
      <c r="E45" s="24" t="str">
        <f t="shared" ca="1" si="11"/>
        <v/>
      </c>
      <c r="F45" t="str">
        <f t="shared" ca="1" si="12"/>
        <v/>
      </c>
      <c r="G45" s="24" t="str">
        <f t="shared" ca="1" si="13"/>
        <v/>
      </c>
      <c r="H45" s="24" t="str">
        <f t="shared" ca="1" si="14"/>
        <v/>
      </c>
      <c r="I45" s="24" t="str">
        <f t="shared" ca="1" si="15"/>
        <v/>
      </c>
      <c r="J45" s="24" t="str">
        <f t="shared" ca="1" si="16"/>
        <v/>
      </c>
    </row>
    <row r="46" spans="2:10" x14ac:dyDescent="0.25">
      <c r="B46" t="str">
        <f t="shared" ca="1" si="9"/>
        <v/>
      </c>
      <c r="C46" t="str">
        <f t="shared" ca="1" si="1"/>
        <v/>
      </c>
      <c r="D46" t="str">
        <f t="shared" ca="1" si="10"/>
        <v/>
      </c>
      <c r="E46" s="24" t="str">
        <f t="shared" ca="1" si="11"/>
        <v/>
      </c>
      <c r="F46" t="str">
        <f t="shared" ca="1" si="12"/>
        <v/>
      </c>
      <c r="G46" s="24" t="str">
        <f t="shared" ca="1" si="13"/>
        <v/>
      </c>
      <c r="H46" s="24" t="str">
        <f t="shared" ca="1" si="14"/>
        <v/>
      </c>
      <c r="I46" s="24" t="str">
        <f t="shared" ca="1" si="15"/>
        <v/>
      </c>
      <c r="J46" s="24" t="str">
        <f t="shared" ca="1" si="16"/>
        <v/>
      </c>
    </row>
    <row r="47" spans="2:10" x14ac:dyDescent="0.25">
      <c r="B47" s="38"/>
      <c r="C47" s="38"/>
      <c r="D47" s="38"/>
      <c r="E47" s="39"/>
      <c r="F47" s="39"/>
      <c r="G47" s="39"/>
      <c r="H47" s="39"/>
      <c r="I47" s="39"/>
      <c r="J47" s="39"/>
    </row>
  </sheetData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'ENTRADA E GASTOS'!$J$14:$J$17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C2:M19"/>
  <sheetViews>
    <sheetView workbookViewId="0">
      <selection activeCell="C23" sqref="C23"/>
    </sheetView>
  </sheetViews>
  <sheetFormatPr defaultRowHeight="15" x14ac:dyDescent="0.25"/>
  <cols>
    <col min="3" max="3" width="14.85546875" customWidth="1"/>
    <col min="5" max="5" width="15.42578125" customWidth="1"/>
    <col min="7" max="7" width="23.140625" customWidth="1"/>
    <col min="9" max="9" width="12.28515625" bestFit="1" customWidth="1"/>
    <col min="11" max="11" width="22.7109375" bestFit="1" customWidth="1"/>
    <col min="13" max="13" width="12" customWidth="1"/>
  </cols>
  <sheetData>
    <row r="2" spans="3:13" x14ac:dyDescent="0.25">
      <c r="C2" s="1"/>
      <c r="D2" s="2"/>
      <c r="E2" s="1"/>
      <c r="F2" s="2"/>
      <c r="G2" s="1"/>
    </row>
    <row r="3" spans="3:13" x14ac:dyDescent="0.25">
      <c r="C3" s="3" t="s">
        <v>13</v>
      </c>
      <c r="D3" s="2"/>
      <c r="E3" s="3" t="s">
        <v>14</v>
      </c>
      <c r="F3" s="2"/>
      <c r="G3" s="3" t="s">
        <v>12</v>
      </c>
      <c r="I3" s="3" t="s">
        <v>40</v>
      </c>
      <c r="K3" s="3" t="s">
        <v>32</v>
      </c>
      <c r="M3" s="3" t="s">
        <v>0</v>
      </c>
    </row>
    <row r="4" spans="3:13" x14ac:dyDescent="0.25">
      <c r="C4" s="4" t="s">
        <v>15</v>
      </c>
      <c r="D4" s="2"/>
      <c r="E4" s="4" t="s">
        <v>16</v>
      </c>
      <c r="F4" s="2"/>
      <c r="G4" s="4" t="s">
        <v>17</v>
      </c>
      <c r="I4" s="4" t="s">
        <v>42</v>
      </c>
      <c r="K4" s="4" t="s">
        <v>50</v>
      </c>
      <c r="M4" s="4" t="s">
        <v>1</v>
      </c>
    </row>
    <row r="5" spans="3:13" x14ac:dyDescent="0.25">
      <c r="C5" s="4" t="s">
        <v>18</v>
      </c>
      <c r="D5" s="2"/>
      <c r="E5" s="4" t="s">
        <v>31</v>
      </c>
      <c r="F5" s="2"/>
      <c r="G5" s="4" t="s">
        <v>19</v>
      </c>
      <c r="I5" s="4" t="s">
        <v>43</v>
      </c>
      <c r="K5" s="4" t="s">
        <v>51</v>
      </c>
      <c r="M5" s="4" t="s">
        <v>2</v>
      </c>
    </row>
    <row r="6" spans="3:13" x14ac:dyDescent="0.25">
      <c r="C6" s="4" t="s">
        <v>20</v>
      </c>
      <c r="D6" s="2"/>
      <c r="E6" s="4" t="s">
        <v>49</v>
      </c>
      <c r="F6" s="2"/>
      <c r="G6" s="4"/>
      <c r="I6" s="4"/>
      <c r="K6" s="4" t="s">
        <v>30</v>
      </c>
      <c r="M6" s="4" t="s">
        <v>7</v>
      </c>
    </row>
    <row r="7" spans="3:13" x14ac:dyDescent="0.25">
      <c r="C7" s="4" t="s">
        <v>21</v>
      </c>
      <c r="D7" s="2"/>
      <c r="E7" s="4"/>
      <c r="F7" s="2"/>
      <c r="G7" s="4"/>
      <c r="K7" s="4"/>
      <c r="M7" s="4" t="s">
        <v>8</v>
      </c>
    </row>
    <row r="8" spans="3:13" x14ac:dyDescent="0.25">
      <c r="C8" s="4" t="s">
        <v>22</v>
      </c>
      <c r="D8" s="2"/>
      <c r="E8" s="4"/>
      <c r="F8" s="2"/>
      <c r="G8" s="2"/>
      <c r="M8" s="4" t="s">
        <v>9</v>
      </c>
    </row>
    <row r="9" spans="3:13" x14ac:dyDescent="0.25">
      <c r="C9" s="4" t="s">
        <v>23</v>
      </c>
      <c r="D9" s="2"/>
      <c r="E9" s="4"/>
      <c r="F9" s="2"/>
      <c r="G9" s="2"/>
      <c r="M9" s="4" t="s">
        <v>10</v>
      </c>
    </row>
    <row r="10" spans="3:13" x14ac:dyDescent="0.25">
      <c r="C10" s="4" t="s">
        <v>24</v>
      </c>
      <c r="D10" s="2"/>
      <c r="E10" s="5"/>
      <c r="F10" s="2"/>
      <c r="G10" s="2"/>
      <c r="M10" s="4" t="s">
        <v>11</v>
      </c>
    </row>
    <row r="11" spans="3:13" x14ac:dyDescent="0.25">
      <c r="C11" s="4" t="s">
        <v>25</v>
      </c>
      <c r="D11" s="2"/>
      <c r="E11" s="5"/>
      <c r="F11" s="2"/>
      <c r="G11" s="2"/>
      <c r="M11" s="4" t="s">
        <v>64</v>
      </c>
    </row>
    <row r="12" spans="3:13" x14ac:dyDescent="0.25">
      <c r="C12" s="4" t="s">
        <v>26</v>
      </c>
      <c r="D12" s="2"/>
      <c r="E12" s="5"/>
      <c r="F12" s="2"/>
      <c r="G12" s="2"/>
      <c r="M12" s="4" t="s">
        <v>3</v>
      </c>
    </row>
    <row r="13" spans="3:13" x14ac:dyDescent="0.25">
      <c r="C13" s="4" t="s">
        <v>27</v>
      </c>
      <c r="D13" s="2"/>
      <c r="E13" s="5"/>
      <c r="F13" s="2"/>
      <c r="G13" s="2"/>
      <c r="M13" s="4" t="s">
        <v>4</v>
      </c>
    </row>
    <row r="14" spans="3:13" x14ac:dyDescent="0.25">
      <c r="C14" s="4" t="s">
        <v>28</v>
      </c>
      <c r="D14" s="2"/>
      <c r="E14" s="5"/>
      <c r="F14" s="2"/>
      <c r="G14" s="2"/>
      <c r="M14" s="4" t="s">
        <v>5</v>
      </c>
    </row>
    <row r="15" spans="3:13" x14ac:dyDescent="0.25">
      <c r="C15" s="4" t="s">
        <v>29</v>
      </c>
      <c r="D15" s="2"/>
      <c r="E15" s="5"/>
      <c r="F15" s="2"/>
      <c r="G15" s="2"/>
      <c r="M15" s="4" t="s">
        <v>6</v>
      </c>
    </row>
    <row r="16" spans="3:13" x14ac:dyDescent="0.25">
      <c r="C16" s="4" t="s">
        <v>30</v>
      </c>
      <c r="D16" s="2"/>
      <c r="E16" s="5"/>
      <c r="F16" s="2"/>
      <c r="G16" s="2"/>
    </row>
    <row r="17" spans="3:7" x14ac:dyDescent="0.25">
      <c r="C17" s="4"/>
      <c r="D17" s="2"/>
      <c r="E17" s="5"/>
      <c r="F17" s="2"/>
      <c r="G17" s="2"/>
    </row>
    <row r="18" spans="3:7" x14ac:dyDescent="0.25">
      <c r="C18" s="4"/>
      <c r="D18" s="2"/>
      <c r="E18" s="5"/>
      <c r="F18" s="2"/>
      <c r="G18" s="2"/>
    </row>
    <row r="19" spans="3:7" x14ac:dyDescent="0.25">
      <c r="E19" s="6"/>
    </row>
  </sheetData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ENTRADA E GASTOS</vt:lpstr>
      <vt:lpstr>PLAN GASTOS</vt:lpstr>
      <vt:lpstr>RECEITA</vt:lpstr>
      <vt:lpstr>Investimentos</vt:lpstr>
      <vt:lpstr>Simulador</vt:lpstr>
      <vt:lpstr>CONFIGS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2026-10-15T17:50:44Z</dcterms:modified>
</cp:coreProperties>
</file>
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5" activeTab="1"/>
  </bookViews>
  <sheets>
    <sheet name="ENTRADA E GASTOS" sheetId="2" r:id="rId1"/>
    <sheet name="PLAN GASTOS" sheetId="3" r:id="rId2"/>
    <sheet name="RECEITA" sheetId="5" r:id="rId3"/>
    <sheet name="Investimentos" sheetId="6" r:id="rId4"/>
    <sheet name="CONFIGS" sheetId="4" r:id="rId5"/>
    <sheet name="123" sheetId="1" r:id="rId6"/>
  </sheets>
  <definedNames>
    <definedName name="_xlnm._FilterDatabase" localSheetId="1" hidden="1">'PLAN GASTOS'!$C$3:$M$3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2" l="1"/>
  <c r="B20" i="2"/>
  <c r="K10" i="2" s="1"/>
  <c r="K11" i="2" s="1"/>
  <c r="J3" i="2"/>
  <c r="H3" i="5"/>
  <c r="G3" i="5"/>
  <c r="L18" i="2"/>
  <c r="B3" i="2"/>
  <c r="M4" i="3"/>
  <c r="L4" i="3"/>
  <c r="K15" i="2" l="1"/>
  <c r="K14" i="2"/>
  <c r="K17" i="2"/>
  <c r="K16" i="2"/>
  <c r="D14" i="1"/>
  <c r="O14" i="1"/>
  <c r="O4" i="1"/>
  <c r="O5" i="1"/>
  <c r="O6" i="1"/>
  <c r="O7" i="1"/>
  <c r="O8" i="1"/>
  <c r="O9" i="1"/>
  <c r="O10" i="1"/>
  <c r="O11" i="1"/>
  <c r="O12" i="1"/>
  <c r="O13" i="1"/>
  <c r="O3" i="1"/>
  <c r="P4" i="1"/>
  <c r="P5" i="1"/>
  <c r="P6" i="1"/>
  <c r="P7" i="1"/>
  <c r="P8" i="1"/>
  <c r="P9" i="1"/>
  <c r="P10" i="1"/>
  <c r="P11" i="1"/>
  <c r="P12" i="1"/>
  <c r="P13" i="1"/>
  <c r="P3" i="1"/>
  <c r="F14" i="1"/>
  <c r="E4" i="1"/>
  <c r="H4" i="1" s="1"/>
  <c r="E5" i="1"/>
  <c r="H5" i="1" s="1"/>
  <c r="E6" i="1"/>
  <c r="H6" i="1" s="1"/>
  <c r="E7" i="1"/>
  <c r="H7" i="1" s="1"/>
  <c r="E8" i="1"/>
  <c r="H8" i="1" s="1"/>
  <c r="E9" i="1"/>
  <c r="H9" i="1" s="1"/>
  <c r="E10" i="1"/>
  <c r="H10" i="1" s="1"/>
  <c r="E11" i="1"/>
  <c r="H11" i="1" s="1"/>
  <c r="E12" i="1"/>
  <c r="H12" i="1" s="1"/>
  <c r="E13" i="1"/>
  <c r="H13" i="1" s="1"/>
  <c r="E3" i="1"/>
  <c r="H3" i="1" s="1"/>
  <c r="K18" i="2" l="1"/>
  <c r="H14" i="1"/>
  <c r="P14" i="1"/>
  <c r="E14" i="1"/>
</calcChain>
</file>

<file path=xl/sharedStrings.xml><?xml version="1.0" encoding="utf-8"?>
<sst xmlns="http://schemas.openxmlformats.org/spreadsheetml/2006/main" count="171" uniqueCount="91">
  <si>
    <t>Mês</t>
  </si>
  <si>
    <t>Janeiro</t>
  </si>
  <si>
    <t>Fevereiro</t>
  </si>
  <si>
    <t>Setembro</t>
  </si>
  <si>
    <t>Outubro</t>
  </si>
  <si>
    <t>Novembro</t>
  </si>
  <si>
    <t>Dezembro</t>
  </si>
  <si>
    <t>Março</t>
  </si>
  <si>
    <t>Abril</t>
  </si>
  <si>
    <t>Maio</t>
  </si>
  <si>
    <t>Junho</t>
  </si>
  <si>
    <t>Julho</t>
  </si>
  <si>
    <t>NU Fixos</t>
  </si>
  <si>
    <t>Acad</t>
  </si>
  <si>
    <t>Laricel</t>
  </si>
  <si>
    <t>MP FATURA</t>
  </si>
  <si>
    <t>MPF + GASTOS FIXOS</t>
  </si>
  <si>
    <t>NUF + GASTOS FIXOS</t>
  </si>
  <si>
    <t>NU FATURA</t>
  </si>
  <si>
    <t>TOTAL POR MÊS</t>
  </si>
  <si>
    <t>TOTAL</t>
  </si>
  <si>
    <t>SALARIO D5</t>
  </si>
  <si>
    <t>SALÁRIO D20</t>
  </si>
  <si>
    <t>SOBRA</t>
  </si>
  <si>
    <t xml:space="preserve">GASTOS </t>
  </si>
  <si>
    <t>ENTRADA/SALDO</t>
  </si>
  <si>
    <t>Forma de Pagamento</t>
  </si>
  <si>
    <t>Categoria</t>
  </si>
  <si>
    <t>Cartão</t>
  </si>
  <si>
    <t>Alimentação</t>
  </si>
  <si>
    <t>Nubank</t>
  </si>
  <si>
    <t>À vista</t>
  </si>
  <si>
    <t>Mercado</t>
  </si>
  <si>
    <t>Parcelado</t>
  </si>
  <si>
    <t>Transporte</t>
  </si>
  <si>
    <t>Moradia</t>
  </si>
  <si>
    <t>Saúde</t>
  </si>
  <si>
    <t>Academia</t>
  </si>
  <si>
    <t>Lazer</t>
  </si>
  <si>
    <t>Compras</t>
  </si>
  <si>
    <t>Eletrônicos</t>
  </si>
  <si>
    <t>Viagem</t>
  </si>
  <si>
    <t>Educação</t>
  </si>
  <si>
    <t>Assinaturas</t>
  </si>
  <si>
    <t>Outros</t>
  </si>
  <si>
    <t>MP</t>
  </si>
  <si>
    <t>Pagamento</t>
  </si>
  <si>
    <t>Data</t>
  </si>
  <si>
    <t>Descrição</t>
  </si>
  <si>
    <t>Valor</t>
  </si>
  <si>
    <t>Parcelas</t>
  </si>
  <si>
    <t>Adicionar Gasto</t>
  </si>
  <si>
    <t>Gastos Fixos</t>
  </si>
  <si>
    <t>Gasto</t>
  </si>
  <si>
    <t>Ativo</t>
  </si>
  <si>
    <t>Celular</t>
  </si>
  <si>
    <t>Sim</t>
  </si>
  <si>
    <t>Não</t>
  </si>
  <si>
    <t>ID</t>
  </si>
  <si>
    <t>Valor total</t>
  </si>
  <si>
    <t>Valor Parcela</t>
  </si>
  <si>
    <t>Ano</t>
  </si>
  <si>
    <t>Cabelo e barba</t>
  </si>
  <si>
    <t>Pix</t>
  </si>
  <si>
    <t>Adiantamento</t>
  </si>
  <si>
    <t>Salário</t>
  </si>
  <si>
    <t>Gastos</t>
  </si>
  <si>
    <t>Detalhes</t>
  </si>
  <si>
    <t>Salário do mês</t>
  </si>
  <si>
    <t>Divisão Sugerida</t>
  </si>
  <si>
    <t>Investimentos</t>
  </si>
  <si>
    <t>Apartamento</t>
  </si>
  <si>
    <t>DATA DE REGISTRO</t>
  </si>
  <si>
    <t>TIPO</t>
  </si>
  <si>
    <t>VALOR</t>
  </si>
  <si>
    <t>MÊS REFERENTE</t>
  </si>
  <si>
    <t>MÊS</t>
  </si>
  <si>
    <t>ANO</t>
  </si>
  <si>
    <t>Agosto</t>
  </si>
  <si>
    <t>YT PREMIUM</t>
  </si>
  <si>
    <t>SPOTIFY</t>
  </si>
  <si>
    <t>Mês Referência</t>
  </si>
  <si>
    <t>Total</t>
  </si>
  <si>
    <t>Salário liquido</t>
  </si>
  <si>
    <t>Valor reservado</t>
  </si>
  <si>
    <t>DATA</t>
  </si>
  <si>
    <t>DESTINO</t>
  </si>
  <si>
    <t>DISPONIVEL PRA GASTAR</t>
  </si>
  <si>
    <t>LAZER</t>
  </si>
  <si>
    <t>OUTROS</t>
  </si>
  <si>
    <t>A pagar cartão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</si>
</sst>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R$&quot;\ * #,##0.00_-;\-&quot;R$&quot;\ * #,##0.00_-;_-&quot;R$&quot;\ * &quot;-&quot;??_-;_-@_-"/>
    <numFmt numFmtId="165" formatCode="&quot;R$&quot;\ #,##0.00"/>
    <numFmt numFmtId="167" formatCode="dd/mm/yyyy"/>
    <numFmt numFmtId="168" formatCode="&quot;R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16294A"/>
      <name val="Arial"/>
      <charset val="1"/>
    </font>
    <font>
      <b/>
      <sz val="11"/>
      <color rgb="FFFFFFFF"/>
      <name val="Arial"/>
      <charset val="1"/>
    </font>
    <font>
      <sz val="10"/>
      <color rgb="FF000000"/>
      <name val="Arial"/>
      <charset val="1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rgb="FF16294A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7">
    <xf numFmtId="0" fontId="0" fillId="0" borderId="0" xfId="0"/>
    <xf numFmtId="44" fontId="0" fillId="0" borderId="0" xfId="1" applyFont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4" fontId="0" fillId="4" borderId="1" xfId="1" applyFont="1" applyFill="1" applyBorder="1" applyAlignment="1">
      <alignment horizontal="center" vertical="center"/>
    </xf>
    <xf numFmtId="44" fontId="0" fillId="6" borderId="1" xfId="1" applyFont="1" applyFill="1" applyBorder="1" applyAlignment="1">
      <alignment horizontal="center" vertical="center"/>
    </xf>
    <xf numFmtId="44" fontId="0" fillId="2" borderId="1" xfId="0" applyNumberFormat="1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44" fontId="0" fillId="7" borderId="1" xfId="0" applyNumberForma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44" fontId="0" fillId="8" borderId="1" xfId="1" applyFont="1" applyFill="1" applyBorder="1" applyAlignment="1">
      <alignment horizontal="center" vertical="center"/>
    </xf>
    <xf numFmtId="44" fontId="0" fillId="8" borderId="1" xfId="0" applyNumberFormat="1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44" fontId="0" fillId="8" borderId="1" xfId="0" applyNumberFormat="1" applyFill="1" applyBorder="1"/>
    <xf numFmtId="0" fontId="0" fillId="0" borderId="7" xfId="0" applyBorder="1" applyAlignment="1">
      <alignment horizontal="center"/>
    </xf>
    <xf numFmtId="0" fontId="0" fillId="8" borderId="1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0" fontId="0" fillId="8" borderId="4" xfId="0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/>
    </xf>
    <xf numFmtId="0" fontId="0" fillId="8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0" xfId="0" applyFont="1" applyAlignment="1"/>
    <xf numFmtId="0" fontId="0" fillId="0" borderId="0" xfId="0" applyAlignment="1"/>
    <xf numFmtId="0" fontId="3" fillId="9" borderId="0" xfId="0" applyFont="1" applyFill="1" applyAlignment="1">
      <alignment horizontal="center"/>
    </xf>
    <xf numFmtId="0" fontId="4" fillId="10" borderId="8" xfId="0" applyFont="1" applyFill="1" applyBorder="1" applyAlignment="1" applyProtection="1">
      <protection locked="0"/>
    </xf>
    <xf numFmtId="0" fontId="4" fillId="0" borderId="0" xfId="0" applyFont="1" applyFill="1" applyBorder="1" applyAlignment="1" applyProtection="1">
      <protection locked="0"/>
    </xf>
    <xf numFmtId="0" fontId="0" fillId="0" borderId="0" xfId="0" applyBorder="1"/>
    <xf numFmtId="0" fontId="0" fillId="12" borderId="0" xfId="0" applyFill="1"/>
    <xf numFmtId="0" fontId="0" fillId="13" borderId="0" xfId="0" applyFill="1"/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165" fontId="0" fillId="13" borderId="0" xfId="0" applyNumberFormat="1" applyFill="1"/>
    <xf numFmtId="2" fontId="0" fillId="13" borderId="0" xfId="0" applyNumberFormat="1" applyFill="1"/>
    <xf numFmtId="14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11" borderId="0" xfId="0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14" borderId="0" xfId="0" applyFill="1" applyAlignment="1">
      <alignment horizontal="center" vertical="center"/>
    </xf>
    <xf numFmtId="165" fontId="0" fillId="13" borderId="0" xfId="1" applyNumberFormat="1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</cellXfs>
  <cellStyles count="2">
    <cellStyle name="Moeda" xfId="1" builtinId="4"/>
    <cellStyle name="Normal" xfId="0" builtinId="0"/>
  </cellStyles>
  <dxfs count="7">
    <dxf>
      <fill>
        <patternFill patternType="solid">
          <fgColor rgb="FFEDEDED"/>
          <bgColor theme="0" tint="-4.9989318521683403E-2"/>
        </patternFill>
      </fill>
    </dxf>
    <dxf>
      <fill>
        <patternFill patternType="solid">
          <fgColor rgb="FFEDEDED"/>
          <bgColor theme="0" tint="-4.9989318521683403E-2"/>
        </patternFill>
      </fill>
    </dxf>
    <dxf>
      <fill>
        <patternFill patternType="solid">
          <fgColor rgb="FF16294A"/>
          <bgColor theme="9" tint="0.39997558519241921"/>
        </patternFill>
      </fill>
    </dxf>
    <dxf>
      <fill>
        <patternFill patternType="solid">
          <fgColor rgb="FFEDEDED"/>
          <bgColor theme="0" tint="-4.9989318521683403E-2"/>
        </patternFill>
      </fill>
    </dxf>
    <dxf>
      <fill>
        <patternFill patternType="solid">
          <fgColor rgb="FFEDEDED"/>
          <bgColor theme="0" tint="-4.9989318521683403E-2"/>
        </patternFill>
      </fill>
    </dxf>
    <dxf>
      <fill>
        <patternFill patternType="solid">
          <fgColor rgb="FF16294A"/>
          <bgColor theme="9" tint="0.39997558519241921"/>
        </patternFill>
      </fill>
    </dxf>
    <dxf>
      <fill>
        <patternFill patternType="solid">
          <fgColor rgb="FF16294A"/>
          <bgColor theme="9" tint="0.39997558519241921"/>
        </patternFill>
      </fill>
    </dxf>
  </dxfs>
  <tableStyles count="0" defaultTableStyle="TableStyleMedium2" defaultPivotStyle="PivotStyleLight16"/>
  <colors>
    <mruColors>
      <color rgb="FFFF66CC"/>
      <color rgb="FFD60093"/>
      <color rgb="FFCC3399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1095375</xdr:colOff>
      <xdr:row>4</xdr:row>
      <xdr:rowOff>0</xdr:rowOff>
    </xdr:from>
    <xdr:to>
      <xdr:col>5</xdr:col>
      <xdr:colOff>723900</xdr:colOff>
      <xdr:row>6</xdr:row>
      <xdr:rowOff>0</xdr:rowOff>
    </xdr:to>
    <xdr:sp macro="[0]!AdicionarGasto" textlink="">
      <xdr:nvSpPr>
        <xdr:cNvPr id="2" name="Retângulo 1"/>
        <xdr:cNvSpPr/>
      </xdr:nvSpPr>
      <xdr:spPr>
        <a:xfrm>
          <a:off x="1704975" y="762000"/>
          <a:ext cx="3552825" cy="3810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solidFill>
                <a:schemeClr val="tx1"/>
              </a:solidFill>
            </a:rPr>
            <a:t>➕ ADICIONAR GASTO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504825</xdr:colOff>
      <xdr:row>4</xdr:row>
      <xdr:rowOff>0</xdr:rowOff>
    </xdr:from>
    <xdr:to>
      <xdr:col>12</xdr:col>
      <xdr:colOff>133350</xdr:colOff>
      <xdr:row>5</xdr:row>
      <xdr:rowOff>180975</xdr:rowOff>
    </xdr:to>
    <xdr:sp macro="[0]!AdicionarReceita" textlink="">
      <xdr:nvSpPr>
        <xdr:cNvPr id="3" name="Retângulo 2"/>
        <xdr:cNvSpPr/>
      </xdr:nvSpPr>
      <xdr:spPr>
        <a:xfrm>
          <a:off x="8667750" y="762000"/>
          <a:ext cx="2409825" cy="37147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➕ ADICIONAR RECEITA</a:t>
          </a:r>
        </a:p>
      </xdr:txBody>
    </xdr:sp>
    <xdr:clientData/>
  </xdr:twoCellAnchor>
  <xdr:twoCellAnchor>
    <xdr:from>
      <xdr:col>9</xdr:col>
      <xdr:colOff>581025</xdr:colOff>
      <xdr:row>19</xdr:row>
      <xdr:rowOff>0</xdr:rowOff>
    </xdr:from>
    <xdr:to>
      <xdr:col>11</xdr:col>
      <xdr:colOff>771525</xdr:colOff>
      <xdr:row>20</xdr:row>
      <xdr:rowOff>171450</xdr:rowOff>
    </xdr:to>
    <xdr:sp macro="[0]!AdicionarInvestimento" textlink="">
      <xdr:nvSpPr>
        <xdr:cNvPr id="4" name="Retângulo 3"/>
        <xdr:cNvSpPr/>
      </xdr:nvSpPr>
      <xdr:spPr>
        <a:xfrm>
          <a:off x="8743950" y="3619500"/>
          <a:ext cx="2257425" cy="3619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➕ ADICIONAR INVESTIMENTOS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>
            <a:solidFill>
              <a:schemeClr val="tx1"/>
            </a:solidFill>
            <a:effectLst/>
          </a:endParaRPr>
        </a:p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Cartoes" displayName="TabCartoes" ref="E3:E18" totalsRowShown="0" headerRowDxfId="6">
  <tableColumns count="1">
    <tableColumn id="1" name="Cartão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Formas" displayName="TabFormas" ref="G3:G7" totalsRowShown="0" headerRowDxfId="5" dataDxfId="3">
  <tableColumns count="1">
    <tableColumn id="1" name="Forma de Pagamento" dataDxfId="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Formas4" displayName="TabFormas4" ref="K3:K7" totalsRowShown="0" headerRowDxfId="2" dataDxfId="1">
  <tableColumns count="1">
    <tableColumn id="1" name="Pagamen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2:M20"/>
  <sheetViews>
    <sheetView workbookViewId="0">
      <selection activeCell="E19" sqref="E19"/>
    </sheetView>
  </sheetViews>
  <sheetFormatPr defaultRowHeight="15" x14ac:dyDescent="0.25"/>
  <cols>
    <col min="2" max="2" width="16.5703125" customWidth="1"/>
    <col min="3" max="3" width="18.140625" customWidth="1"/>
    <col min="4" max="4" width="15" customWidth="1"/>
    <col min="5" max="5" width="11.7109375" bestFit="1" customWidth="1"/>
    <col min="6" max="6" width="19.5703125" bestFit="1" customWidth="1"/>
    <col min="7" max="7" width="11.42578125" customWidth="1"/>
    <col min="8" max="8" width="11.7109375" customWidth="1"/>
    <col min="10" max="10" width="17" customWidth="1"/>
    <col min="11" max="11" width="14" customWidth="1"/>
    <col min="12" max="12" width="15.5703125" customWidth="1"/>
  </cols>
  <sheetData>
    <row r="2" spans="2:13" x14ac:dyDescent="0.25">
      <c r="B2" s="32" t="s">
        <v>47</v>
      </c>
      <c r="C2" s="32" t="s">
        <v>48</v>
      </c>
      <c r="D2" s="32" t="s">
        <v>27</v>
      </c>
      <c r="E2" s="32" t="s">
        <v>49</v>
      </c>
      <c r="F2" s="32" t="s">
        <v>26</v>
      </c>
      <c r="G2" s="32" t="s">
        <v>50</v>
      </c>
      <c r="H2" s="32" t="s">
        <v>28</v>
      </c>
      <c r="J2" s="32" t="s">
        <v>47</v>
      </c>
      <c r="K2" s="32" t="s">
        <v>46</v>
      </c>
      <c r="L2" s="32" t="s">
        <v>49</v>
      </c>
      <c r="M2" s="32" t="s">
        <v>0</v>
      </c>
    </row>
    <row r="3" spans="2:13" x14ac:dyDescent="0.25">
      <c r="B3" s="39">
        <f ca="1">TODAY()</f>
        <v>46309</v>
      </c>
      <c r="C3" s="40"/>
      <c r="D3" s="40" t="s">
        <v>44</v>
      </c>
      <c r="E3" s="41">
        <v>0</v>
      </c>
      <c r="F3" s="40" t="s">
        <v>31</v>
      </c>
      <c r="G3" s="42">
        <v>1</v>
      </c>
      <c r="H3" s="40" t="s">
        <v>30</v>
      </c>
      <c r="J3" s="45">
        <f ca="1">TODAY()</f>
        <v>46309</v>
      </c>
      <c r="L3" s="52">
        <v>0</v>
      </c>
    </row>
    <row r="5" spans="2:13" x14ac:dyDescent="0.25">
      <c r="C5" s="34" t="s">
        <v>51</v>
      </c>
      <c r="D5" s="34"/>
      <c r="E5" s="34"/>
      <c r="F5" s="34"/>
    </row>
    <row r="6" spans="2:13" x14ac:dyDescent="0.25">
      <c r="C6" s="34"/>
      <c r="D6" s="34"/>
      <c r="E6" s="34"/>
      <c r="F6" s="34"/>
    </row>
    <row r="9" spans="2:13" x14ac:dyDescent="0.25">
      <c r="B9" s="35" t="s">
        <v>52</v>
      </c>
      <c r="C9" s="35"/>
      <c r="D9" s="35"/>
      <c r="E9" s="35"/>
      <c r="F9" s="35"/>
      <c r="G9" s="35"/>
      <c r="H9" s="35"/>
      <c r="J9" s="49" t="s">
        <v>81</v>
      </c>
      <c r="K9" s="40" t="s">
        <v>4</v>
      </c>
    </row>
    <row r="10" spans="2:13" x14ac:dyDescent="0.25">
      <c r="B10" s="56" t="s">
        <v>53</v>
      </c>
      <c r="C10" s="56" t="s">
        <v>27</v>
      </c>
      <c r="D10" s="55" t="s">
        <v>49</v>
      </c>
      <c r="E10" s="55"/>
      <c r="F10" s="56" t="s">
        <v>26</v>
      </c>
      <c r="G10" s="56" t="s">
        <v>28</v>
      </c>
      <c r="H10" s="56" t="s">
        <v>54</v>
      </c>
      <c r="J10" s="49" t="s">
        <v>68</v>
      </c>
      <c r="K10" s="41" t="b">
        <f>B20=SUMIFS(RECEITA!E:E, RECEITA!F:F, K9)</f>
        <v>0</v>
      </c>
    </row>
    <row r="11" spans="2:13" x14ac:dyDescent="0.25">
      <c r="B11" s="40" t="s">
        <v>37</v>
      </c>
      <c r="C11" s="40" t="s">
        <v>37</v>
      </c>
      <c r="D11" s="54">
        <v>155</v>
      </c>
      <c r="E11" s="54"/>
      <c r="F11" s="40" t="s">
        <v>31</v>
      </c>
      <c r="G11" s="40" t="s">
        <v>30</v>
      </c>
      <c r="H11" s="40" t="s">
        <v>56</v>
      </c>
      <c r="J11" s="49" t="s">
        <v>83</v>
      </c>
      <c r="K11" s="37">
        <f>K10-(SUM(D11:E16))</f>
        <v>-233.8</v>
      </c>
    </row>
    <row r="12" spans="2:13" x14ac:dyDescent="0.25">
      <c r="B12" s="40" t="s">
        <v>55</v>
      </c>
      <c r="C12" s="40" t="s">
        <v>43</v>
      </c>
      <c r="D12" s="54">
        <v>45</v>
      </c>
      <c r="E12" s="54"/>
      <c r="F12" s="40" t="s">
        <v>31</v>
      </c>
      <c r="G12" s="40" t="s">
        <v>30</v>
      </c>
      <c r="H12" s="40" t="s">
        <v>56</v>
      </c>
    </row>
    <row r="13" spans="2:13" x14ac:dyDescent="0.25">
      <c r="B13" s="40" t="s">
        <v>79</v>
      </c>
      <c r="C13" s="40" t="s">
        <v>43</v>
      </c>
      <c r="D13" s="54">
        <v>16.899999999999999</v>
      </c>
      <c r="E13" s="54"/>
      <c r="F13" s="40" t="s">
        <v>31</v>
      </c>
      <c r="G13" s="40" t="s">
        <v>30</v>
      </c>
      <c r="H13" s="40" t="s">
        <v>56</v>
      </c>
      <c r="J13" s="36" t="s">
        <v>69</v>
      </c>
      <c r="K13" s="36"/>
      <c r="L13" s="32" t="s">
        <v>84</v>
      </c>
    </row>
    <row r="14" spans="2:13" x14ac:dyDescent="0.25">
      <c r="B14" s="40" t="s">
        <v>80</v>
      </c>
      <c r="C14" s="40" t="s">
        <v>43</v>
      </c>
      <c r="D14" s="54">
        <v>16.899999999999999</v>
      </c>
      <c r="E14" s="54"/>
      <c r="F14" s="40" t="s">
        <v>31</v>
      </c>
      <c r="G14" s="40" t="s">
        <v>30</v>
      </c>
      <c r="H14" s="40" t="s">
        <v>56</v>
      </c>
      <c r="J14" s="33" t="s">
        <v>70</v>
      </c>
      <c r="K14" s="37">
        <f>K11*0.35</f>
        <v>-81.83</v>
      </c>
      <c r="L14" s="37"/>
    </row>
    <row r="15" spans="2:13" x14ac:dyDescent="0.25">
      <c r="B15" s="40"/>
      <c r="C15" s="40"/>
      <c r="D15" s="54"/>
      <c r="E15" s="54"/>
      <c r="F15" s="40"/>
      <c r="G15" s="40"/>
      <c r="H15" s="40"/>
      <c r="J15" s="33" t="s">
        <v>71</v>
      </c>
      <c r="K15" s="37">
        <f>$K$11*0.35</f>
        <v>-81.83</v>
      </c>
      <c r="L15" s="37"/>
    </row>
    <row r="16" spans="2:13" x14ac:dyDescent="0.25">
      <c r="B16" s="40"/>
      <c r="C16" s="40"/>
      <c r="D16" s="54"/>
      <c r="E16" s="54"/>
      <c r="F16" s="40"/>
      <c r="G16" s="40"/>
      <c r="H16" s="40"/>
      <c r="J16" s="33" t="s">
        <v>38</v>
      </c>
      <c r="K16" s="37">
        <f>$K$11*0.15</f>
        <v>-35.07</v>
      </c>
      <c r="L16" s="37"/>
    </row>
    <row r="17" spans="2:12" x14ac:dyDescent="0.25">
      <c r="J17" s="33" t="s">
        <v>44</v>
      </c>
      <c r="K17" s="37">
        <f>$K$11*0.15</f>
        <v>-35.07</v>
      </c>
      <c r="L17" s="37"/>
    </row>
    <row r="18" spans="2:12" x14ac:dyDescent="0.25">
      <c r="B18" s="55" t="s">
        <v>87</v>
      </c>
      <c r="C18" s="55"/>
      <c r="E18" t="s">
        <v>90</v>
      </c>
      <c r="J18" s="33" t="s">
        <v>82</v>
      </c>
      <c r="K18" s="38">
        <f>SUM(K14:K17)</f>
        <v>-233.79999999999998</v>
      </c>
      <c r="L18" s="37">
        <f>SUM(L14:L17)</f>
        <v>0</v>
      </c>
    </row>
    <row r="19" spans="2:12" x14ac:dyDescent="0.25">
      <c r="B19" s="40" t="s">
        <v>88</v>
      </c>
      <c r="C19" s="40" t="s">
        <v>89</v>
      </c>
    </row>
    <row r="20" spans="2:12" x14ac:dyDescent="0.25">
      <c r="B20" s="40">
        <f>SUMIFS(Investimentos!E:E, Investimentos!D:D, "LAZER")</f>
        <v>0</v>
      </c>
      <c r="C20" s="40">
        <f>SUMIFS(Investimentos!E:E, Investimentos!D:D, "OUTROS")</f>
        <v>0</v>
      </c>
    </row>
  </sheetData>
  <mergeCells count="11">
    <mergeCell ref="B18:C18"/>
    <mergeCell ref="D14:E14"/>
    <mergeCell ref="D15:E15"/>
    <mergeCell ref="D16:E16"/>
    <mergeCell ref="J13:K13"/>
    <mergeCell ref="C5:F6"/>
    <mergeCell ref="B9:H9"/>
    <mergeCell ref="D10:E10"/>
    <mergeCell ref="D11:E11"/>
    <mergeCell ref="D12:E12"/>
    <mergeCell ref="D13:E1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CONFIGS!$C$4:$C$18</xm:f>
          </x14:formula1>
          <xm:sqref>C11:C16</xm:sqref>
        </x14:dataValidation>
        <x14:dataValidation type="list" allowBlank="1" showInputMessage="1" showErrorMessage="1">
          <x14:formula1>
            <xm:f>CONFIGS!$G$4:$G$5</xm:f>
          </x14:formula1>
          <xm:sqref>F3 F11:F16</xm:sqref>
        </x14:dataValidation>
        <x14:dataValidation type="list" allowBlank="1" showInputMessage="1" showErrorMessage="1">
          <x14:formula1>
            <xm:f>CONFIGS!$E$4:$E$9</xm:f>
          </x14:formula1>
          <xm:sqref>G11:G16</xm:sqref>
        </x14:dataValidation>
        <x14:dataValidation type="list" allowBlank="1" showInputMessage="1" showErrorMessage="1">
          <x14:formula1>
            <xm:f>CONFIGS!$I$4:$I$5</xm:f>
          </x14:formula1>
          <xm:sqref>H11:H16</xm:sqref>
        </x14:dataValidation>
        <x14:dataValidation type="list" allowBlank="1" showInputMessage="1" showErrorMessage="1">
          <x14:formula1>
            <xm:f>CONFIGS!$C$4:$C$16</xm:f>
          </x14:formula1>
          <xm:sqref>D3</xm:sqref>
        </x14:dataValidation>
        <x14:dataValidation type="list" allowBlank="1" showInputMessage="1" showErrorMessage="1">
          <x14:formula1>
            <xm:f>CONFIGS!$E$4:$E$8</xm:f>
          </x14:formula1>
          <xm:sqref>H3</xm:sqref>
        </x14:dataValidation>
        <x14:dataValidation type="list" allowBlank="1" showInputMessage="1" showErrorMessage="1">
          <x14:formula1>
            <xm:f>CONFIGS!$K$4:$K$7</xm:f>
          </x14:formula1>
          <xm:sqref>K3</xm:sqref>
        </x14:dataValidation>
        <x14:dataValidation type="list" allowBlank="1" showInputMessage="1" showErrorMessage="1">
          <x14:formula1>
            <xm:f>CONFIGS!$M$4:$M$15</xm:f>
          </x14:formula1>
          <xm:sqref>M3 K9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S33"/>
  <sheetViews>
    <sheetView tabSelected="1" workbookViewId="0">
      <selection activeCell="C3" sqref="C3:N5"/>
    </sheetView>
  </sheetViews>
  <sheetFormatPr defaultRowHeight="15" x14ac:dyDescent="0.25"/>
  <cols>
    <col min="2" max="2" width="10.7109375" bestFit="1" customWidth="1"/>
    <col min="3" max="3" width="9.140625" style="46"/>
    <col min="4" max="4" width="10.7109375" style="46" bestFit="1" customWidth="1"/>
    <col min="5" max="5" width="14.28515625" style="46" bestFit="1" customWidth="1"/>
    <col min="6" max="6" width="9.42578125" style="46" bestFit="1" customWidth="1"/>
    <col min="7" max="7" width="11.28515625" style="46" bestFit="1" customWidth="1"/>
    <col min="8" max="8" width="11" style="46" bestFit="1" customWidth="1"/>
    <col min="9" max="9" width="8.7109375" style="50" bestFit="1" customWidth="1"/>
    <col min="10" max="10" width="12.5703125" style="46" bestFit="1" customWidth="1"/>
    <col min="11" max="13" width="9.140625" style="46"/>
    <col min="17" max="17" width="10.7109375" bestFit="1" customWidth="1"/>
    <col min="19" max="19" width="10.28515625" bestFit="1" customWidth="1"/>
  </cols>
  <sheetData>
    <row r="1" spans="2:19" x14ac:dyDescent="0.25">
      <c r="C1" s="53" t="s">
        <v>66</v>
      </c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</row>
    <row r="2" spans="2:19" x14ac:dyDescent="0.25">
      <c r="I2" s="46"/>
    </row>
    <row r="3" spans="2:19" x14ac:dyDescent="0.25">
      <c r="C3" s="49" t="s">
        <v>58</v>
      </c>
      <c r="D3" s="49" t="s">
        <v>47</v>
      </c>
      <c r="E3" s="49" t="s">
        <v>48</v>
      </c>
      <c r="F3" s="49" t="s">
        <v>27</v>
      </c>
      <c r="G3" s="49" t="s">
        <v>59</v>
      </c>
      <c r="H3" s="49" t="s">
        <v>46</v>
      </c>
      <c r="I3" s="49" t="s">
        <v>50</v>
      </c>
      <c r="J3" s="49" t="s">
        <v>60</v>
      </c>
      <c r="K3" s="49" t="s">
        <v>28</v>
      </c>
      <c r="L3" s="49" t="s">
        <v>0</v>
      </c>
      <c r="M3" s="49" t="s">
        <v>61</v>
      </c>
      <c r="N3" s="49" t="s">
        <v>67</v>
      </c>
    </row>
    <row r="4" spans="2:19" x14ac:dyDescent="0.25">
      <c r="C4" s="46">
        <v>1</v>
      </c>
      <c r="D4" s="47">
        <v>46309</v>
      </c>
      <c r="E4" s="46" t="s">
        <v>62</v>
      </c>
      <c r="F4" s="46" t="s">
        <v>44</v>
      </c>
      <c r="G4" s="48">
        <v>110</v>
      </c>
      <c r="H4" s="46" t="s">
        <v>31</v>
      </c>
      <c r="I4" s="51">
        <v>1</v>
      </c>
      <c r="J4" s="48">
        <v>110</v>
      </c>
      <c r="K4" s="46" t="s">
        <v>63</v>
      </c>
      <c r="L4" s="46">
        <f>MONTH(D4)</f>
        <v>10</v>
      </c>
      <c r="M4" s="46">
        <f>YEAR(D4)</f>
        <v>2026</v>
      </c>
      <c r="Q4" s="43"/>
      <c r="S4" s="44"/>
    </row>
    <row r="5" spans="2:19" x14ac:dyDescent="0.25">
      <c r="B5" s="43"/>
      <c r="D5" s="47"/>
      <c r="E5" s="48"/>
      <c r="G5" s="48"/>
      <c r="I5" s="51"/>
      <c r="J5" s="48"/>
    </row>
    <row r="6" spans="2:19" x14ac:dyDescent="0.25">
      <c r="B6" s="46"/>
      <c r="D6" s="47"/>
      <c r="G6" s="48"/>
      <c r="I6" s="51"/>
      <c r="J6" s="48"/>
    </row>
    <row r="7" spans="2:19" x14ac:dyDescent="0.25">
      <c r="D7" s="47"/>
      <c r="G7" s="48"/>
      <c r="I7" s="51"/>
      <c r="J7" s="48"/>
    </row>
    <row r="8" spans="2:19" x14ac:dyDescent="0.25">
      <c r="D8" s="47"/>
      <c r="G8" s="48"/>
      <c r="I8" s="51"/>
      <c r="J8" s="48"/>
    </row>
    <row r="9" spans="2:19" x14ac:dyDescent="0.25">
      <c r="D9" s="47"/>
      <c r="G9" s="48"/>
      <c r="I9" s="51"/>
      <c r="J9" s="48"/>
    </row>
    <row r="10" spans="2:19" x14ac:dyDescent="0.25">
      <c r="D10" s="47"/>
      <c r="G10" s="48"/>
      <c r="I10" s="51"/>
      <c r="J10" s="48"/>
      <c r="M10"/>
    </row>
    <row r="11" spans="2:19" x14ac:dyDescent="0.25">
      <c r="D11" s="47"/>
      <c r="G11" s="48"/>
      <c r="I11" s="51"/>
      <c r="J11" s="48"/>
    </row>
    <row r="12" spans="2:19" x14ac:dyDescent="0.25">
      <c r="D12" s="47"/>
      <c r="G12" s="48"/>
      <c r="I12" s="51"/>
      <c r="J12" s="48"/>
    </row>
    <row r="13" spans="2:19" x14ac:dyDescent="0.25">
      <c r="D13" s="47"/>
      <c r="G13" s="48"/>
      <c r="I13" s="51"/>
      <c r="J13" s="48"/>
    </row>
    <row r="14" spans="2:19" x14ac:dyDescent="0.25">
      <c r="D14" s="47"/>
      <c r="G14" s="48"/>
      <c r="I14" s="51"/>
      <c r="J14" s="48"/>
    </row>
    <row r="15" spans="2:19" x14ac:dyDescent="0.25">
      <c r="I15" s="51"/>
    </row>
    <row r="16" spans="2:19" x14ac:dyDescent="0.25">
      <c r="I16" s="51"/>
    </row>
    <row r="17" spans="9:9" x14ac:dyDescent="0.25">
      <c r="I17" s="51"/>
    </row>
    <row r="18" spans="9:9" x14ac:dyDescent="0.25">
      <c r="I18" s="51"/>
    </row>
    <row r="19" spans="9:9" x14ac:dyDescent="0.25">
      <c r="I19" s="51"/>
    </row>
    <row r="20" spans="9:9" x14ac:dyDescent="0.25">
      <c r="I20" s="51"/>
    </row>
    <row r="21" spans="9:9" x14ac:dyDescent="0.25">
      <c r="I21" s="51"/>
    </row>
    <row r="22" spans="9:9" x14ac:dyDescent="0.25">
      <c r="I22" s="51"/>
    </row>
    <row r="23" spans="9:9" x14ac:dyDescent="0.25">
      <c r="I23" s="51"/>
    </row>
    <row r="24" spans="9:9" x14ac:dyDescent="0.25">
      <c r="I24" s="51"/>
    </row>
    <row r="25" spans="9:9" x14ac:dyDescent="0.25">
      <c r="I25" s="51"/>
    </row>
    <row r="26" spans="9:9" x14ac:dyDescent="0.25">
      <c r="I26" s="51"/>
    </row>
    <row r="27" spans="9:9" x14ac:dyDescent="0.25">
      <c r="I27" s="51"/>
    </row>
    <row r="28" spans="9:9" x14ac:dyDescent="0.25">
      <c r="I28" s="51"/>
    </row>
    <row r="29" spans="9:9" x14ac:dyDescent="0.25">
      <c r="I29" s="51"/>
    </row>
    <row r="30" spans="9:9" x14ac:dyDescent="0.25">
      <c r="I30" s="51"/>
    </row>
    <row r="31" spans="9:9" x14ac:dyDescent="0.25">
      <c r="I31" s="51"/>
    </row>
    <row r="32" spans="9:9" x14ac:dyDescent="0.25">
      <c r="I32" s="51"/>
    </row>
    <row r="33" spans="9:9" x14ac:dyDescent="0.25">
      <c r="I33" s="51"/>
    </row>
  </sheetData>
  <autoFilter ref="C3:M3"/>
  <mergeCells count="1">
    <mergeCell ref="C1:N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2:H3"/>
  <sheetViews>
    <sheetView workbookViewId="0">
      <selection activeCell="E7" sqref="E7"/>
    </sheetView>
  </sheetViews>
  <sheetFormatPr defaultRowHeight="15" x14ac:dyDescent="0.25"/>
  <cols>
    <col min="2" max="2" width="9.140625" style="46"/>
    <col min="3" max="3" width="17.85546875" style="46" bestFit="1" customWidth="1"/>
    <col min="4" max="4" width="13.85546875" style="46" bestFit="1" customWidth="1"/>
    <col min="5" max="5" width="10.28515625" style="46" bestFit="1" customWidth="1"/>
    <col min="6" max="6" width="16.85546875" style="46" customWidth="1"/>
    <col min="7" max="8" width="9.140625" style="46"/>
  </cols>
  <sheetData>
    <row r="2" spans="2:8" x14ac:dyDescent="0.25">
      <c r="B2" s="49" t="s">
        <v>58</v>
      </c>
      <c r="C2" s="49" t="s">
        <v>72</v>
      </c>
      <c r="D2" s="49" t="s">
        <v>73</v>
      </c>
      <c r="E2" s="49" t="s">
        <v>74</v>
      </c>
      <c r="F2" s="49" t="s">
        <v>75</v>
      </c>
      <c r="G2" s="49" t="s">
        <v>76</v>
      </c>
      <c r="H2" s="49" t="s">
        <v>77</v>
      </c>
    </row>
    <row r="3" spans="2:8" x14ac:dyDescent="0.25">
      <c r="B3" s="46">
        <v>1</v>
      </c>
      <c r="C3" s="47">
        <v>46315</v>
      </c>
      <c r="D3" s="46" t="s">
        <v>64</v>
      </c>
      <c r="E3" s="48">
        <v>1227.82</v>
      </c>
      <c r="F3" s="46" t="s">
        <v>4</v>
      </c>
      <c r="G3" s="46">
        <f>MONTH(C3)</f>
        <v>10</v>
      </c>
      <c r="H3" s="46">
        <f>YEAR(C3)</f>
        <v>2026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B3:H11"/>
  <sheetViews>
    <sheetView workbookViewId="0">
      <selection activeCell="J8" sqref="J8"/>
    </sheetView>
  </sheetViews>
  <sheetFormatPr defaultRowHeight="15" x14ac:dyDescent="0.25"/>
  <cols>
    <col min="2" max="2" width="11.140625" style="46" customWidth="1"/>
    <col min="3" max="3" width="10.7109375" style="46" bestFit="1" customWidth="1"/>
    <col min="4" max="4" width="13.85546875" style="46" bestFit="1" customWidth="1"/>
    <col min="5" max="5" width="8.7109375" style="46" bestFit="1" customWidth="1"/>
    <col min="6" max="6" width="15" style="46" bestFit="1" customWidth="1"/>
    <col min="7" max="8" width="9.140625" style="46"/>
  </cols>
  <sheetData>
    <row r="3" spans="2:8" x14ac:dyDescent="0.25">
      <c r="B3" s="46" t="s">
        <v>58</v>
      </c>
      <c r="C3" s="46" t="s">
        <v>85</v>
      </c>
      <c r="D3" s="46" t="s">
        <v>86</v>
      </c>
      <c r="E3" s="46" t="s">
        <v>74</v>
      </c>
      <c r="F3" s="46" t="s">
        <v>75</v>
      </c>
      <c r="G3" s="46" t="s">
        <v>76</v>
      </c>
      <c r="H3" s="46" t="s">
        <v>77</v>
      </c>
    </row>
    <row r="4" spans="2:8" x14ac:dyDescent="0.25">
      <c r="C4" s="47"/>
      <c r="E4" s="48"/>
    </row>
    <row r="5" spans="2:8" x14ac:dyDescent="0.25">
      <c r="C5" s="47"/>
      <c r="E5" s="48"/>
    </row>
    <row r="6" spans="2:8" x14ac:dyDescent="0.25">
      <c r="C6" s="47"/>
      <c r="E6" s="48"/>
    </row>
    <row r="7" spans="2:8" x14ac:dyDescent="0.25">
      <c r="C7" s="47"/>
      <c r="E7" s="48"/>
    </row>
    <row r="8" spans="2:8" x14ac:dyDescent="0.25">
      <c r="C8" s="47"/>
      <c r="E8" s="48"/>
    </row>
    <row r="9" spans="2:8" x14ac:dyDescent="0.25">
      <c r="C9" s="47"/>
      <c r="E9" s="48"/>
    </row>
    <row r="10" spans="2:8" x14ac:dyDescent="0.25">
      <c r="C10" s="47"/>
      <c r="E10" s="48"/>
    </row>
    <row r="11" spans="2:8" x14ac:dyDescent="0.25">
      <c r="C11" s="47"/>
      <c r="E11" s="48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C2:M19"/>
  <sheetViews>
    <sheetView workbookViewId="0">
      <selection activeCell="C23" sqref="C23"/>
    </sheetView>
  </sheetViews>
  <sheetFormatPr defaultRowHeight="15" x14ac:dyDescent="0.25"/>
  <cols>
    <col min="3" max="3" width="14.85546875" customWidth="1"/>
    <col min="5" max="5" width="15.42578125" customWidth="1"/>
    <col min="7" max="7" width="23.140625" customWidth="1"/>
    <col min="9" max="9" width="12.28515625" bestFit="1" customWidth="1"/>
    <col min="11" max="11" width="22.7109375" bestFit="1" customWidth="1"/>
    <col min="13" max="13" width="12" customWidth="1"/>
  </cols>
  <sheetData>
    <row r="2" spans="3:13" x14ac:dyDescent="0.25">
      <c r="C2" s="26"/>
      <c r="D2" s="27"/>
      <c r="E2" s="26"/>
      <c r="F2" s="27"/>
      <c r="G2" s="26"/>
    </row>
    <row r="3" spans="3:13" x14ac:dyDescent="0.25">
      <c r="C3" s="28" t="s">
        <v>27</v>
      </c>
      <c r="D3" s="27"/>
      <c r="E3" s="28" t="s">
        <v>28</v>
      </c>
      <c r="F3" s="27"/>
      <c r="G3" s="28" t="s">
        <v>26</v>
      </c>
      <c r="I3" s="28" t="s">
        <v>54</v>
      </c>
      <c r="K3" s="28" t="s">
        <v>46</v>
      </c>
      <c r="M3" s="28" t="s">
        <v>0</v>
      </c>
    </row>
    <row r="4" spans="3:13" x14ac:dyDescent="0.25">
      <c r="C4" s="29" t="s">
        <v>29</v>
      </c>
      <c r="D4" s="27"/>
      <c r="E4" s="29" t="s">
        <v>30</v>
      </c>
      <c r="F4" s="27"/>
      <c r="G4" s="29" t="s">
        <v>31</v>
      </c>
      <c r="I4" s="29" t="s">
        <v>56</v>
      </c>
      <c r="K4" s="29" t="s">
        <v>64</v>
      </c>
      <c r="M4" s="29" t="s">
        <v>1</v>
      </c>
    </row>
    <row r="5" spans="3:13" x14ac:dyDescent="0.25">
      <c r="C5" s="29" t="s">
        <v>32</v>
      </c>
      <c r="D5" s="27"/>
      <c r="E5" s="29" t="s">
        <v>45</v>
      </c>
      <c r="F5" s="27"/>
      <c r="G5" s="29" t="s">
        <v>33</v>
      </c>
      <c r="I5" s="29" t="s">
        <v>57</v>
      </c>
      <c r="K5" s="29" t="s">
        <v>65</v>
      </c>
      <c r="M5" s="29" t="s">
        <v>2</v>
      </c>
    </row>
    <row r="6" spans="3:13" x14ac:dyDescent="0.25">
      <c r="C6" s="29" t="s">
        <v>34</v>
      </c>
      <c r="D6" s="27"/>
      <c r="E6" s="29" t="s">
        <v>63</v>
      </c>
      <c r="F6" s="27"/>
      <c r="G6" s="29"/>
      <c r="I6" s="29"/>
      <c r="K6" s="29" t="s">
        <v>44</v>
      </c>
      <c r="M6" s="29" t="s">
        <v>7</v>
      </c>
    </row>
    <row r="7" spans="3:13" x14ac:dyDescent="0.25">
      <c r="C7" s="29" t="s">
        <v>35</v>
      </c>
      <c r="D7" s="27"/>
      <c r="E7" s="29"/>
      <c r="F7" s="27"/>
      <c r="G7" s="29"/>
      <c r="K7" s="29"/>
      <c r="M7" s="29" t="s">
        <v>8</v>
      </c>
    </row>
    <row r="8" spans="3:13" x14ac:dyDescent="0.25">
      <c r="C8" s="29" t="s">
        <v>36</v>
      </c>
      <c r="D8" s="27"/>
      <c r="E8" s="29"/>
      <c r="F8" s="27"/>
      <c r="G8" s="27"/>
      <c r="M8" s="29" t="s">
        <v>9</v>
      </c>
    </row>
    <row r="9" spans="3:13" x14ac:dyDescent="0.25">
      <c r="C9" s="29" t="s">
        <v>37</v>
      </c>
      <c r="D9" s="27"/>
      <c r="E9" s="29"/>
      <c r="F9" s="27"/>
      <c r="G9" s="27"/>
      <c r="M9" s="29" t="s">
        <v>10</v>
      </c>
    </row>
    <row r="10" spans="3:13" x14ac:dyDescent="0.25">
      <c r="C10" s="29" t="s">
        <v>38</v>
      </c>
      <c r="D10" s="27"/>
      <c r="E10" s="30"/>
      <c r="F10" s="27"/>
      <c r="G10" s="27"/>
      <c r="M10" s="29" t="s">
        <v>11</v>
      </c>
    </row>
    <row r="11" spans="3:13" x14ac:dyDescent="0.25">
      <c r="C11" s="29" t="s">
        <v>39</v>
      </c>
      <c r="D11" s="27"/>
      <c r="E11" s="30"/>
      <c r="F11" s="27"/>
      <c r="G11" s="27"/>
      <c r="M11" s="29" t="s">
        <v>78</v>
      </c>
    </row>
    <row r="12" spans="3:13" x14ac:dyDescent="0.25">
      <c r="C12" s="29" t="s">
        <v>40</v>
      </c>
      <c r="D12" s="27"/>
      <c r="E12" s="30"/>
      <c r="F12" s="27"/>
      <c r="G12" s="27"/>
      <c r="M12" s="29" t="s">
        <v>3</v>
      </c>
    </row>
    <row r="13" spans="3:13" x14ac:dyDescent="0.25">
      <c r="C13" s="29" t="s">
        <v>41</v>
      </c>
      <c r="D13" s="27"/>
      <c r="E13" s="30"/>
      <c r="F13" s="27"/>
      <c r="G13" s="27"/>
      <c r="M13" s="29" t="s">
        <v>4</v>
      </c>
    </row>
    <row r="14" spans="3:13" x14ac:dyDescent="0.25">
      <c r="C14" s="29" t="s">
        <v>42</v>
      </c>
      <c r="D14" s="27"/>
      <c r="E14" s="30"/>
      <c r="F14" s="27"/>
      <c r="G14" s="27"/>
      <c r="M14" s="29" t="s">
        <v>5</v>
      </c>
    </row>
    <row r="15" spans="3:13" x14ac:dyDescent="0.25">
      <c r="C15" s="29" t="s">
        <v>43</v>
      </c>
      <c r="D15" s="27"/>
      <c r="E15" s="30"/>
      <c r="F15" s="27"/>
      <c r="G15" s="27"/>
      <c r="M15" s="29" t="s">
        <v>6</v>
      </c>
    </row>
    <row r="16" spans="3:13" x14ac:dyDescent="0.25">
      <c r="C16" s="29" t="s">
        <v>44</v>
      </c>
      <c r="D16" s="27"/>
      <c r="E16" s="30"/>
      <c r="F16" s="27"/>
      <c r="G16" s="27"/>
    </row>
    <row r="17" spans="3:7" x14ac:dyDescent="0.25">
      <c r="C17" s="29"/>
      <c r="D17" s="27"/>
      <c r="E17" s="30"/>
      <c r="F17" s="27"/>
      <c r="G17" s="27"/>
    </row>
    <row r="18" spans="3:7" x14ac:dyDescent="0.25">
      <c r="C18" s="29"/>
      <c r="D18" s="27"/>
      <c r="E18" s="30"/>
      <c r="F18" s="27"/>
      <c r="G18" s="27"/>
    </row>
    <row r="19" spans="3:7" x14ac:dyDescent="0.25">
      <c r="E19" s="31"/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1:P19"/>
  <sheetViews>
    <sheetView showGridLines="0" workbookViewId="0">
      <selection activeCell="O11" sqref="O11"/>
    </sheetView>
  </sheetViews>
  <sheetFormatPr defaultRowHeight="15" x14ac:dyDescent="0.25"/>
  <cols>
    <col min="2" max="2" width="9.5703125" bestFit="1" customWidth="1"/>
    <col min="3" max="3" width="10.42578125" bestFit="1" customWidth="1"/>
    <col min="4" max="4" width="12.140625" hidden="1" customWidth="1"/>
    <col min="5" max="5" width="19.42578125" bestFit="1" customWidth="1"/>
    <col min="6" max="6" width="13.5703125" bestFit="1" customWidth="1"/>
    <col min="7" max="7" width="19.5703125" hidden="1" customWidth="1"/>
    <col min="8" max="8" width="15" bestFit="1" customWidth="1"/>
    <col min="10" max="11" width="10.5703125" bestFit="1" customWidth="1"/>
    <col min="12" max="12" width="12.28515625" hidden="1" customWidth="1"/>
    <col min="13" max="14" width="12.140625" hidden="1" customWidth="1"/>
    <col min="15" max="15" width="15" bestFit="1" customWidth="1"/>
    <col min="16" max="16" width="14.5703125" customWidth="1"/>
  </cols>
  <sheetData>
    <row r="1" spans="2:16" x14ac:dyDescent="0.25">
      <c r="B1" s="15" t="s">
        <v>24</v>
      </c>
      <c r="C1" s="15"/>
      <c r="D1" s="15"/>
      <c r="E1" s="15"/>
      <c r="F1" s="15"/>
      <c r="G1" s="15"/>
      <c r="H1" s="15"/>
      <c r="J1" s="15" t="s">
        <v>25</v>
      </c>
      <c r="K1" s="15"/>
      <c r="L1" s="15"/>
      <c r="M1" s="15"/>
      <c r="N1" s="15"/>
      <c r="O1" s="15"/>
    </row>
    <row r="2" spans="2:16" x14ac:dyDescent="0.25">
      <c r="B2" s="2"/>
      <c r="C2" s="2" t="s">
        <v>0</v>
      </c>
      <c r="D2" s="3" t="s">
        <v>18</v>
      </c>
      <c r="E2" s="3" t="s">
        <v>17</v>
      </c>
      <c r="F2" s="4" t="s">
        <v>15</v>
      </c>
      <c r="G2" s="4" t="s">
        <v>16</v>
      </c>
      <c r="H2" s="2" t="s">
        <v>19</v>
      </c>
      <c r="J2" s="10"/>
      <c r="K2" s="10" t="s">
        <v>0</v>
      </c>
      <c r="L2" s="10" t="s">
        <v>22</v>
      </c>
      <c r="M2" s="10" t="s">
        <v>21</v>
      </c>
      <c r="N2" s="10">
        <v>13</v>
      </c>
      <c r="O2" s="10" t="s">
        <v>19</v>
      </c>
      <c r="P2" s="13" t="s">
        <v>23</v>
      </c>
    </row>
    <row r="3" spans="2:16" x14ac:dyDescent="0.25">
      <c r="B3" s="22">
        <v>2026</v>
      </c>
      <c r="C3" s="2" t="s">
        <v>3</v>
      </c>
      <c r="D3" s="5">
        <v>906</v>
      </c>
      <c r="E3" s="5">
        <f t="shared" ref="E3:E13" si="0">D3+SUM($D$18:$D$19)</f>
        <v>1090</v>
      </c>
      <c r="F3" s="6">
        <v>480.62</v>
      </c>
      <c r="G3" s="6">
        <v>0</v>
      </c>
      <c r="H3" s="7">
        <f>SUM(E3+F3)</f>
        <v>1570.62</v>
      </c>
      <c r="J3" s="16">
        <v>2026</v>
      </c>
      <c r="K3" s="10" t="s">
        <v>3</v>
      </c>
      <c r="L3" s="11">
        <v>1227.82</v>
      </c>
      <c r="M3" s="11">
        <v>1367</v>
      </c>
      <c r="N3" s="11"/>
      <c r="O3" s="12">
        <f>SUM(L3:N3)</f>
        <v>2594.8199999999997</v>
      </c>
      <c r="P3" s="14">
        <f>O3-H3</f>
        <v>1024.1999999999998</v>
      </c>
    </row>
    <row r="4" spans="2:16" x14ac:dyDescent="0.25">
      <c r="B4" s="22"/>
      <c r="C4" s="2" t="s">
        <v>4</v>
      </c>
      <c r="D4" s="5">
        <v>674.94</v>
      </c>
      <c r="E4" s="5">
        <f t="shared" si="0"/>
        <v>858.94</v>
      </c>
      <c r="F4" s="6">
        <v>323.05</v>
      </c>
      <c r="G4" s="6">
        <v>0</v>
      </c>
      <c r="H4" s="7">
        <f t="shared" ref="H4:H13" si="1">SUM(E4+F4)</f>
        <v>1181.99</v>
      </c>
      <c r="J4" s="16"/>
      <c r="K4" s="10" t="s">
        <v>4</v>
      </c>
      <c r="L4" s="11">
        <v>1227.82</v>
      </c>
      <c r="M4" s="11">
        <v>1367</v>
      </c>
      <c r="N4" s="11"/>
      <c r="O4" s="12">
        <f t="shared" ref="O4:O13" si="2">SUM(L4:N4)</f>
        <v>2594.8199999999997</v>
      </c>
      <c r="P4" s="14">
        <f t="shared" ref="P4:P14" si="3">O4-H4</f>
        <v>1412.8299999999997</v>
      </c>
    </row>
    <row r="5" spans="2:16" x14ac:dyDescent="0.25">
      <c r="B5" s="22"/>
      <c r="C5" s="2" t="s">
        <v>5</v>
      </c>
      <c r="D5" s="5">
        <v>612.29</v>
      </c>
      <c r="E5" s="5">
        <f t="shared" si="0"/>
        <v>796.29</v>
      </c>
      <c r="F5" s="6">
        <v>323.05</v>
      </c>
      <c r="G5" s="6">
        <v>0</v>
      </c>
      <c r="H5" s="7">
        <f t="shared" si="1"/>
        <v>1119.3399999999999</v>
      </c>
      <c r="J5" s="16"/>
      <c r="K5" s="10" t="s">
        <v>5</v>
      </c>
      <c r="L5" s="11">
        <v>2050</v>
      </c>
      <c r="M5" s="11">
        <v>2050</v>
      </c>
      <c r="N5" s="11">
        <v>3100</v>
      </c>
      <c r="O5" s="12">
        <f t="shared" si="2"/>
        <v>7200</v>
      </c>
      <c r="P5" s="14">
        <f t="shared" si="3"/>
        <v>6080.66</v>
      </c>
    </row>
    <row r="6" spans="2:16" x14ac:dyDescent="0.25">
      <c r="B6" s="22"/>
      <c r="C6" s="2" t="s">
        <v>6</v>
      </c>
      <c r="D6" s="5">
        <v>437.38</v>
      </c>
      <c r="E6" s="5">
        <f t="shared" si="0"/>
        <v>621.38</v>
      </c>
      <c r="F6" s="6">
        <v>311.3</v>
      </c>
      <c r="G6" s="6">
        <v>0</v>
      </c>
      <c r="H6" s="7">
        <f t="shared" si="1"/>
        <v>932.68000000000006</v>
      </c>
      <c r="J6" s="16"/>
      <c r="K6" s="10" t="s">
        <v>6</v>
      </c>
      <c r="L6" s="11">
        <v>1227.82</v>
      </c>
      <c r="M6" s="11">
        <v>1367</v>
      </c>
      <c r="N6" s="11"/>
      <c r="O6" s="12">
        <f t="shared" si="2"/>
        <v>2594.8199999999997</v>
      </c>
      <c r="P6" s="14">
        <f t="shared" si="3"/>
        <v>1662.1399999999996</v>
      </c>
    </row>
    <row r="7" spans="2:16" x14ac:dyDescent="0.25">
      <c r="B7" s="23">
        <v>2027</v>
      </c>
      <c r="C7" s="2" t="s">
        <v>1</v>
      </c>
      <c r="D7" s="5">
        <v>382.18</v>
      </c>
      <c r="E7" s="5">
        <f t="shared" si="0"/>
        <v>566.18000000000006</v>
      </c>
      <c r="F7" s="6">
        <v>311.3</v>
      </c>
      <c r="G7" s="6">
        <v>0</v>
      </c>
      <c r="H7" s="7">
        <f t="shared" si="1"/>
        <v>877.48</v>
      </c>
      <c r="J7" s="17">
        <v>2027</v>
      </c>
      <c r="K7" s="10" t="s">
        <v>1</v>
      </c>
      <c r="L7" s="11">
        <v>1227.82</v>
      </c>
      <c r="M7" s="11">
        <v>1367</v>
      </c>
      <c r="N7" s="11"/>
      <c r="O7" s="12">
        <f t="shared" si="2"/>
        <v>2594.8199999999997</v>
      </c>
      <c r="P7" s="14">
        <f t="shared" si="3"/>
        <v>1717.3399999999997</v>
      </c>
    </row>
    <row r="8" spans="2:16" x14ac:dyDescent="0.25">
      <c r="B8" s="24"/>
      <c r="C8" s="2" t="s">
        <v>2</v>
      </c>
      <c r="D8" s="5">
        <v>148.38999999999999</v>
      </c>
      <c r="E8" s="5">
        <f t="shared" si="0"/>
        <v>332.39</v>
      </c>
      <c r="F8" s="6">
        <v>311.3</v>
      </c>
      <c r="G8" s="6">
        <v>0</v>
      </c>
      <c r="H8" s="7">
        <f t="shared" si="1"/>
        <v>643.69000000000005</v>
      </c>
      <c r="J8" s="18"/>
      <c r="K8" s="10" t="s">
        <v>2</v>
      </c>
      <c r="L8" s="11">
        <v>1227.82</v>
      </c>
      <c r="M8" s="11">
        <v>1367</v>
      </c>
      <c r="N8" s="11"/>
      <c r="O8" s="12">
        <f t="shared" si="2"/>
        <v>2594.8199999999997</v>
      </c>
      <c r="P8" s="14">
        <f t="shared" si="3"/>
        <v>1951.1299999999997</v>
      </c>
    </row>
    <row r="9" spans="2:16" x14ac:dyDescent="0.25">
      <c r="B9" s="24"/>
      <c r="C9" s="2" t="s">
        <v>7</v>
      </c>
      <c r="D9" s="5">
        <v>148.38999999999999</v>
      </c>
      <c r="E9" s="5">
        <f t="shared" si="0"/>
        <v>332.39</v>
      </c>
      <c r="F9" s="6">
        <v>258.85000000000002</v>
      </c>
      <c r="G9" s="6">
        <v>0</v>
      </c>
      <c r="H9" s="7">
        <f t="shared" si="1"/>
        <v>591.24</v>
      </c>
      <c r="J9" s="18"/>
      <c r="K9" s="10" t="s">
        <v>7</v>
      </c>
      <c r="L9" s="11">
        <v>1227.82</v>
      </c>
      <c r="M9" s="11">
        <v>1367</v>
      </c>
      <c r="N9" s="11"/>
      <c r="O9" s="12">
        <f t="shared" si="2"/>
        <v>2594.8199999999997</v>
      </c>
      <c r="P9" s="14">
        <f t="shared" si="3"/>
        <v>2003.5799999999997</v>
      </c>
    </row>
    <row r="10" spans="2:16" x14ac:dyDescent="0.25">
      <c r="B10" s="24"/>
      <c r="C10" s="2" t="s">
        <v>8</v>
      </c>
      <c r="D10" s="5">
        <v>40.5</v>
      </c>
      <c r="E10" s="5">
        <f t="shared" si="0"/>
        <v>224.5</v>
      </c>
      <c r="F10" s="6">
        <v>258.85000000000002</v>
      </c>
      <c r="G10" s="6">
        <v>0</v>
      </c>
      <c r="H10" s="7">
        <f t="shared" si="1"/>
        <v>483.35</v>
      </c>
      <c r="J10" s="18"/>
      <c r="K10" s="10" t="s">
        <v>8</v>
      </c>
      <c r="L10" s="11">
        <v>1227.82</v>
      </c>
      <c r="M10" s="11">
        <v>1367</v>
      </c>
      <c r="N10" s="11"/>
      <c r="O10" s="12">
        <f t="shared" si="2"/>
        <v>2594.8199999999997</v>
      </c>
      <c r="P10" s="14">
        <f t="shared" si="3"/>
        <v>2111.4699999999998</v>
      </c>
    </row>
    <row r="11" spans="2:16" x14ac:dyDescent="0.25">
      <c r="B11" s="24"/>
      <c r="C11" s="2" t="s">
        <v>9</v>
      </c>
      <c r="D11" s="5">
        <v>14.41</v>
      </c>
      <c r="E11" s="5">
        <f t="shared" si="0"/>
        <v>198.41</v>
      </c>
      <c r="F11" s="6">
        <v>29.02</v>
      </c>
      <c r="G11" s="6">
        <v>0</v>
      </c>
      <c r="H11" s="7">
        <f t="shared" si="1"/>
        <v>227.43</v>
      </c>
      <c r="J11" s="18"/>
      <c r="K11" s="10" t="s">
        <v>9</v>
      </c>
      <c r="L11" s="11">
        <v>1227.82</v>
      </c>
      <c r="M11" s="11">
        <v>1367</v>
      </c>
      <c r="N11" s="11"/>
      <c r="O11" s="12">
        <f t="shared" si="2"/>
        <v>2594.8199999999997</v>
      </c>
      <c r="P11" s="14">
        <f t="shared" si="3"/>
        <v>2367.39</v>
      </c>
    </row>
    <row r="12" spans="2:16" x14ac:dyDescent="0.25">
      <c r="B12" s="24"/>
      <c r="C12" s="2" t="s">
        <v>10</v>
      </c>
      <c r="D12" s="5">
        <v>14.41</v>
      </c>
      <c r="E12" s="5">
        <f t="shared" si="0"/>
        <v>198.41</v>
      </c>
      <c r="F12" s="6">
        <v>29.02</v>
      </c>
      <c r="G12" s="6">
        <v>0</v>
      </c>
      <c r="H12" s="7">
        <f t="shared" si="1"/>
        <v>227.43</v>
      </c>
      <c r="J12" s="18"/>
      <c r="K12" s="10" t="s">
        <v>10</v>
      </c>
      <c r="L12" s="11">
        <v>1227.82</v>
      </c>
      <c r="M12" s="11">
        <v>1367</v>
      </c>
      <c r="N12" s="11"/>
      <c r="O12" s="12">
        <f t="shared" si="2"/>
        <v>2594.8199999999997</v>
      </c>
      <c r="P12" s="14">
        <f t="shared" si="3"/>
        <v>2367.39</v>
      </c>
    </row>
    <row r="13" spans="2:16" x14ac:dyDescent="0.25">
      <c r="B13" s="25"/>
      <c r="C13" s="2" t="s">
        <v>11</v>
      </c>
      <c r="D13" s="5">
        <v>14.41</v>
      </c>
      <c r="E13" s="5">
        <f t="shared" si="0"/>
        <v>198.41</v>
      </c>
      <c r="F13" s="6">
        <v>0</v>
      </c>
      <c r="G13" s="6">
        <v>0</v>
      </c>
      <c r="H13" s="7">
        <f t="shared" si="1"/>
        <v>198.41</v>
      </c>
      <c r="J13" s="19"/>
      <c r="K13" s="10" t="s">
        <v>11</v>
      </c>
      <c r="L13" s="11">
        <v>1227.82</v>
      </c>
      <c r="M13" s="11">
        <v>1367</v>
      </c>
      <c r="N13" s="11"/>
      <c r="O13" s="12">
        <f t="shared" si="2"/>
        <v>2594.8199999999997</v>
      </c>
      <c r="P13" s="14">
        <f t="shared" si="3"/>
        <v>2396.41</v>
      </c>
    </row>
    <row r="14" spans="2:16" x14ac:dyDescent="0.25">
      <c r="B14" s="22" t="s">
        <v>20</v>
      </c>
      <c r="C14" s="22"/>
      <c r="D14" s="5">
        <f>SUM(D3:D13)</f>
        <v>3393.2999999999993</v>
      </c>
      <c r="E14" s="5">
        <f>SUM(E3:E13)</f>
        <v>5417.3</v>
      </c>
      <c r="F14" s="6">
        <f>SUM(F3:F13)</f>
        <v>2636.3599999999997</v>
      </c>
      <c r="G14" s="8"/>
      <c r="H14" s="9">
        <f>SUM(H3:H13)</f>
        <v>8053.6600000000017</v>
      </c>
      <c r="J14" s="20" t="s">
        <v>20</v>
      </c>
      <c r="K14" s="21"/>
      <c r="L14" s="11"/>
      <c r="M14" s="11"/>
      <c r="N14" s="11"/>
      <c r="O14" s="12">
        <f>SUM(O3:O13)</f>
        <v>33148.199999999997</v>
      </c>
      <c r="P14" s="14">
        <f t="shared" si="3"/>
        <v>25094.539999999994</v>
      </c>
    </row>
    <row r="17" spans="3:4" x14ac:dyDescent="0.25">
      <c r="D17" t="s">
        <v>12</v>
      </c>
    </row>
    <row r="18" spans="3:4" x14ac:dyDescent="0.25">
      <c r="C18" t="s">
        <v>13</v>
      </c>
      <c r="D18" s="1">
        <v>139</v>
      </c>
    </row>
    <row r="19" spans="3:4" x14ac:dyDescent="0.25">
      <c r="C19" t="s">
        <v>14</v>
      </c>
      <c r="D19" s="1">
        <v>45</v>
      </c>
    </row>
  </sheetData>
  <mergeCells count="8">
    <mergeCell ref="B1:H1"/>
    <mergeCell ref="J1:O1"/>
    <mergeCell ref="J3:J6"/>
    <mergeCell ref="J7:J13"/>
    <mergeCell ref="J14:K14"/>
    <mergeCell ref="B3:B6"/>
    <mergeCell ref="B14:C14"/>
    <mergeCell ref="B7:B1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ENTRADA E GASTOS</vt:lpstr>
      <vt:lpstr>PLAN GASTOS</vt:lpstr>
      <vt:lpstr>RECEITA</vt:lpstr>
      <vt:lpstr>Investimentos</vt:lpstr>
      <vt:lpstr>CONFIGS</vt:lpstr>
      <vt:lpstr>123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2026-10-14T16:39:21Z</dcterms:modified>
</cp:coreProperties>
</file>